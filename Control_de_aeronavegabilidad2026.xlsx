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light Log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Life Limit Comp" sheetId="3" state="visible" r:id="rId3"/>
    <sheet xmlns:r="http://schemas.openxmlformats.org/officeDocument/2006/relationships" name="AD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[h]:mm"/>
    <numFmt numFmtId="165" formatCode="dd/mm/yyyy"/>
    <numFmt numFmtId="166" formatCode="0.0"/>
  </numFmts>
  <fonts count="10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/>
    <font>
      <name val="Calibri"/>
      <color theme="1"/>
      <sz val="10"/>
    </font>
    <font>
      <name val="Calibri"/>
      <color theme="1"/>
      <sz val="8"/>
    </font>
    <font>
      <name val="Calibri"/>
      <color theme="1"/>
      <sz val="9"/>
    </font>
    <font>
      <b val="1"/>
      <color rgb="00FFFFFF"/>
    </font>
    <font>
      <b val="1"/>
    </font>
  </fonts>
  <fills count="13">
    <fill>
      <patternFill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00D9E2F3"/>
      </top>
    </border>
    <border>
      <right style="thin">
        <color rgb="00D9E2F3"/>
      </right>
      <top style="thin">
        <color rgb="00D9E2F3"/>
      </top>
    </border>
    <border>
      <top style="thin">
        <color rgb="00D9E2F3"/>
      </top>
      <bottom style="thin">
        <color rgb="00D9E2F3"/>
      </bottom>
    </border>
    <border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center" wrapText="1"/>
    </xf>
    <xf numFmtId="14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right"/>
    </xf>
    <xf numFmtId="14" fontId="2" fillId="0" borderId="1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2" borderId="3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2" fillId="3" borderId="1" pivotButton="0" quotePrefix="0" xfId="0"/>
    <xf numFmtId="0" fontId="2" fillId="3" borderId="6" applyAlignment="1" pivotButton="0" quotePrefix="0" xfId="0">
      <alignment horizontal="center" wrapText="1"/>
    </xf>
    <xf numFmtId="0" fontId="4" fillId="0" borderId="7" pivotButton="0" quotePrefix="0" xfId="0"/>
    <xf numFmtId="0" fontId="4" fillId="0" borderId="8" pivotButton="0" quotePrefix="0" xfId="0"/>
    <xf numFmtId="0" fontId="2" fillId="3" borderId="6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textRotation="90" wrapText="1"/>
    </xf>
    <xf numFmtId="0" fontId="2" fillId="3" borderId="1" applyAlignment="1" pivotButton="0" quotePrefix="0" xfId="0">
      <alignment horizontal="center" vertical="center" textRotation="90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7" borderId="6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2" fillId="6" borderId="1" applyAlignment="1" pivotButton="0" quotePrefix="0" xfId="0">
      <alignment horizontal="center" wrapText="1"/>
    </xf>
    <xf numFmtId="0" fontId="6" fillId="0" borderId="6" applyAlignment="1" pivotButton="0" quotePrefix="0" xfId="0">
      <alignment horizontal="center" wrapText="1"/>
    </xf>
    <xf numFmtId="0" fontId="1" fillId="0" borderId="6" applyAlignment="1" pivotButton="0" quotePrefix="0" xfId="0">
      <alignment horizontal="center"/>
    </xf>
    <xf numFmtId="14" fontId="7" fillId="0" borderId="1" pivotButton="0" quotePrefix="0" xfId="0"/>
    <xf numFmtId="0" fontId="2" fillId="8" borderId="6" applyAlignment="1" pivotButton="0" quotePrefix="0" xfId="0">
      <alignment horizontal="center"/>
    </xf>
    <xf numFmtId="0" fontId="2" fillId="9" borderId="6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textRotation="90" wrapText="1"/>
    </xf>
    <xf numFmtId="0" fontId="5" fillId="3" borderId="1" applyAlignment="1" pivotButton="0" quotePrefix="0" xfId="0">
      <alignment horizontal="center" vertical="center" textRotation="90"/>
    </xf>
    <xf numFmtId="0" fontId="7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2" fillId="10" borderId="6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0" pivotButton="0" quotePrefix="0" xfId="0"/>
    <xf numFmtId="0" fontId="2" fillId="2" borderId="11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49" fontId="8" fillId="11" borderId="0" applyAlignment="1" pivotButton="0" quotePrefix="0" xfId="0">
      <alignment horizontal="center" vertical="center" wrapText="1"/>
    </xf>
    <xf numFmtId="165" fontId="2" fillId="0" borderId="0" pivotButton="0" quotePrefix="0" xfId="0"/>
    <xf numFmtId="166" fontId="2" fillId="0" borderId="0" pivotButton="0" quotePrefix="0" xfId="0"/>
    <xf numFmtId="1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8" fillId="11" borderId="15" applyAlignment="1" pivotButton="0" quotePrefix="0" xfId="0">
      <alignment vertical="center" wrapText="1"/>
    </xf>
    <xf numFmtId="166" fontId="8" fillId="11" borderId="15" applyAlignment="1" pivotButton="0" quotePrefix="0" xfId="0">
      <alignment vertical="center" wrapText="1"/>
    </xf>
    <xf numFmtId="165" fontId="8" fillId="11" borderId="15" applyAlignment="1" pivotButton="0" quotePrefix="0" xfId="0">
      <alignment vertical="center" wrapText="1"/>
    </xf>
    <xf numFmtId="1" fontId="8" fillId="11" borderId="15" applyAlignment="1" pivotButton="0" quotePrefix="0" xfId="0">
      <alignment vertical="center" wrapText="1"/>
    </xf>
    <xf numFmtId="0" fontId="3" fillId="0" borderId="15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166" fontId="0" fillId="0" borderId="15" applyAlignment="1" pivotButton="0" quotePrefix="0" xfId="0">
      <alignment vertical="center" wrapText="1"/>
    </xf>
    <xf numFmtId="166" fontId="2" fillId="0" borderId="15" applyAlignment="1" pivotButton="0" quotePrefix="0" xfId="0">
      <alignment vertical="center" wrapText="1"/>
    </xf>
    <xf numFmtId="165" fontId="2" fillId="0" borderId="15" applyAlignment="1" pivotButton="0" quotePrefix="0" xfId="0">
      <alignment vertical="center" wrapText="1"/>
    </xf>
    <xf numFmtId="1" fontId="0" fillId="0" borderId="15" applyAlignment="1" pivotButton="0" quotePrefix="0" xfId="0">
      <alignment vertical="center" wrapText="1"/>
    </xf>
    <xf numFmtId="1" fontId="2" fillId="0" borderId="15" applyAlignment="1" pivotButton="0" quotePrefix="0" xfId="0">
      <alignment vertical="center" wrapText="1"/>
    </xf>
    <xf numFmtId="165" fontId="0" fillId="0" borderId="15" applyAlignment="1" pivotButton="0" quotePrefix="0" xfId="0">
      <alignment vertical="center" wrapText="1"/>
    </xf>
    <xf numFmtId="0" fontId="2" fillId="3" borderId="15" applyAlignment="1" pivotButton="0" quotePrefix="0" xfId="0">
      <alignment vertical="center" wrapText="1"/>
    </xf>
    <xf numFmtId="166" fontId="2" fillId="3" borderId="15" applyAlignment="1" pivotButton="0" quotePrefix="0" xfId="0">
      <alignment vertical="center" wrapText="1"/>
    </xf>
    <xf numFmtId="165" fontId="2" fillId="3" borderId="15" applyAlignment="1" pivotButton="0" quotePrefix="0" xfId="0">
      <alignment vertical="center" wrapText="1"/>
    </xf>
    <xf numFmtId="0" fontId="9" fillId="12" borderId="15" applyAlignment="1" pivotButton="0" quotePrefix="0" xfId="0">
      <alignment vertical="center" wrapText="1"/>
    </xf>
    <xf numFmtId="166" fontId="9" fillId="12" borderId="15" applyAlignment="1" pivotButton="0" quotePrefix="0" xfId="0">
      <alignment vertical="center" wrapText="1"/>
    </xf>
    <xf numFmtId="165" fontId="9" fillId="12" borderId="15" applyAlignment="1" pivotButton="0" quotePrefix="0" xfId="0">
      <alignment vertical="center" wrapText="1"/>
    </xf>
    <xf numFmtId="1" fontId="9" fillId="12" borderId="15" applyAlignment="1" pivotButton="0" quotePrefix="0" xfId="0">
      <alignment vertical="center" wrapText="1"/>
    </xf>
    <xf numFmtId="0" fontId="2" fillId="0" borderId="15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6" fillId="0" borderId="15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2" fillId="9" borderId="15" applyAlignment="1" pivotButton="0" quotePrefix="0" xfId="0">
      <alignment vertical="center" wrapText="1"/>
    </xf>
    <xf numFmtId="0" fontId="5" fillId="3" borderId="15" applyAlignment="1" pivotButton="0" quotePrefix="0" xfId="0">
      <alignment vertical="center" wrapText="1"/>
    </xf>
    <xf numFmtId="166" fontId="7" fillId="4" borderId="15" applyAlignment="1" pivotButton="0" quotePrefix="0" xfId="0">
      <alignment vertical="center" wrapText="1"/>
    </xf>
    <xf numFmtId="166" fontId="7" fillId="5" borderId="15" applyAlignment="1" pivotButton="0" quotePrefix="0" xfId="0">
      <alignment vertical="center" wrapText="1"/>
    </xf>
    <xf numFmtId="166" fontId="7" fillId="6" borderId="15" applyAlignment="1" pivotButton="0" quotePrefix="0" xfId="0">
      <alignment vertical="center" wrapText="1"/>
    </xf>
    <xf numFmtId="165" fontId="7" fillId="4" borderId="15" applyAlignment="1" pivotButton="0" quotePrefix="0" xfId="0">
      <alignment vertical="center" wrapText="1"/>
    </xf>
    <xf numFmtId="165" fontId="7" fillId="5" borderId="15" applyAlignment="1" pivotButton="0" quotePrefix="0" xfId="0">
      <alignment vertical="center" wrapText="1"/>
    </xf>
    <xf numFmtId="1" fontId="7" fillId="6" borderId="15" applyAlignment="1" pivotButton="0" quotePrefix="0" xfId="0">
      <alignment vertical="center" wrapText="1"/>
    </xf>
    <xf numFmtId="0" fontId="2" fillId="10" borderId="15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8" fillId="11" borderId="15" applyAlignment="1" pivotButton="0" quotePrefix="0" xfId="0">
      <alignment vertical="center" wrapText="1"/>
    </xf>
    <xf numFmtId="165" fontId="8" fillId="11" borderId="15" applyAlignment="1" pivotButton="0" quotePrefix="0" xfId="0">
      <alignment vertical="center" wrapText="1"/>
    </xf>
    <xf numFmtId="166" fontId="0" fillId="0" borderId="15" applyAlignment="1" pivotButton="0" quotePrefix="0" xfId="0">
      <alignment vertical="center" wrapText="1"/>
    </xf>
    <xf numFmtId="166" fontId="2" fillId="0" borderId="15" applyAlignment="1" pivotButton="0" quotePrefix="0" xfId="0">
      <alignment vertical="center" wrapText="1"/>
    </xf>
    <xf numFmtId="165" fontId="2" fillId="0" borderId="15" applyAlignment="1" pivotButton="0" quotePrefix="0" xfId="0">
      <alignment vertical="center" wrapText="1"/>
    </xf>
    <xf numFmtId="165" fontId="0" fillId="0" borderId="15" applyAlignment="1" pivotButton="0" quotePrefix="0" xfId="0">
      <alignment vertical="center" wrapText="1"/>
    </xf>
    <xf numFmtId="0" fontId="0" fillId="0" borderId="18" pivotButton="0" quotePrefix="0" xfId="0"/>
    <xf numFmtId="0" fontId="0" fillId="0" borderId="19" pivotButton="0" quotePrefix="0" xfId="0"/>
    <xf numFmtId="166" fontId="2" fillId="3" borderId="15" applyAlignment="1" pivotButton="0" quotePrefix="0" xfId="0">
      <alignment vertical="center" wrapText="1"/>
    </xf>
    <xf numFmtId="165" fontId="2" fillId="3" borderId="15" applyAlignment="1" pivotButton="0" quotePrefix="0" xfId="0">
      <alignment vertical="center" wrapText="1"/>
    </xf>
    <xf numFmtId="166" fontId="9" fillId="12" borderId="15" applyAlignment="1" pivotButton="0" quotePrefix="0" xfId="0">
      <alignment vertical="center" wrapText="1"/>
    </xf>
    <xf numFmtId="165" fontId="9" fillId="12" borderId="15" applyAlignment="1" pivotButton="0" quotePrefix="0" xfId="0">
      <alignment vertical="center" wrapText="1"/>
    </xf>
    <xf numFmtId="166" fontId="7" fillId="4" borderId="15" applyAlignment="1" pivotButton="0" quotePrefix="0" xfId="0">
      <alignment vertical="center" wrapText="1"/>
    </xf>
    <xf numFmtId="166" fontId="7" fillId="5" borderId="15" applyAlignment="1" pivotButton="0" quotePrefix="0" xfId="0">
      <alignment vertical="center" wrapText="1"/>
    </xf>
    <xf numFmtId="166" fontId="7" fillId="6" borderId="15" applyAlignment="1" pivotButton="0" quotePrefix="0" xfId="0">
      <alignment vertical="center" wrapText="1"/>
    </xf>
    <xf numFmtId="165" fontId="7" fillId="4" borderId="15" applyAlignment="1" pivotButton="0" quotePrefix="0" xfId="0">
      <alignment vertical="center" wrapText="1"/>
    </xf>
    <xf numFmtId="165" fontId="7" fillId="5" borderId="15" applyAlignment="1" pivotButton="0" quotePrefix="0" xfId="0">
      <alignment vertical="center" wrapText="1"/>
    </xf>
  </cellXfs>
  <cellStyles count="1">
    <cellStyle name="Normal" xfId="0" builtinId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43" defaultRowHeight="15" customHeight="1"/>
  <cols>
    <col width="16" customWidth="1" style="48" min="1" max="5"/>
    <col width="14" customWidth="1" style="48" min="2" max="2"/>
    <col width="18" customWidth="1" style="48" min="3" max="3"/>
    <col width="12" customWidth="1" style="48" min="4" max="4"/>
    <col width="20" customWidth="1" style="48" min="5" max="5"/>
    <col width="24" customWidth="1" style="48" min="6" max="6"/>
    <col width="18" customWidth="1" style="48" min="7" max="7"/>
    <col width="42" customWidth="1" style="48" min="8" max="8"/>
    <col width="10.71" customWidth="1" style="48" min="9" max="26"/>
  </cols>
  <sheetData>
    <row r="1">
      <c r="A1" s="60" t="inlineStr">
        <is>
          <t>Fecha del Vuelo:</t>
        </is>
      </c>
      <c r="B1" s="60" t="inlineStr">
        <is>
          <t>Horas de Vuelo</t>
        </is>
      </c>
      <c r="C1" s="60" t="inlineStr">
        <is>
          <t>Nº de Vuelos (Ciclos)</t>
        </is>
      </c>
      <c r="D1" s="60" t="inlineStr">
        <is>
          <t>Aterrizajes</t>
        </is>
      </c>
      <c r="E1" s="60" t="inlineStr">
        <is>
          <t>Horas de Vuelo Acumuladas</t>
        </is>
      </c>
      <c r="F1" s="60" t="inlineStr">
        <is>
          <t>Nº de Vuelos (Ciclos) Acumulados</t>
        </is>
      </c>
      <c r="G1" s="60" t="inlineStr">
        <is>
          <t>Aterrizajes Totales</t>
        </is>
      </c>
      <c r="H1" s="60" t="inlineStr">
        <is>
          <t>Observaciones</t>
        </is>
      </c>
    </row>
    <row r="3">
      <c r="A3" s="99" t="n">
        <v>45657</v>
      </c>
      <c r="B3" s="100" t="n">
        <v>0</v>
      </c>
      <c r="C3" s="63" t="n">
        <v>0</v>
      </c>
      <c r="D3" s="63" t="n">
        <v>0</v>
      </c>
      <c r="E3" s="100" t="n">
        <v>2080</v>
      </c>
      <c r="F3" s="63" t="n">
        <v>1040</v>
      </c>
      <c r="G3" s="63" t="n">
        <v>1240</v>
      </c>
      <c r="H3" s="0" t="inlineStr">
        <is>
          <t>Saldo inicial simulado para ejercicio academico</t>
        </is>
      </c>
    </row>
    <row r="4">
      <c r="A4" s="101" t="n">
        <v>45669</v>
      </c>
      <c r="B4" s="102" t="n">
        <v>1.2</v>
      </c>
      <c r="C4" s="66" t="n">
        <v>1</v>
      </c>
      <c r="D4" s="66" t="n">
        <v>1</v>
      </c>
      <c r="E4" s="102">
        <f>E3+B4</f>
        <v/>
      </c>
      <c r="F4" s="66">
        <f>F3+C4</f>
        <v/>
      </c>
      <c r="G4" s="66">
        <f>G3+D4</f>
        <v/>
      </c>
      <c r="H4" s="0" t="inlineStr">
        <is>
          <t>Vuelo local entrenamiento</t>
        </is>
      </c>
    </row>
    <row r="5">
      <c r="A5" s="101" t="n">
        <v>45683</v>
      </c>
      <c r="B5" s="102" t="n">
        <v>1.6</v>
      </c>
      <c r="C5" s="66" t="n">
        <v>1</v>
      </c>
      <c r="D5" s="66" t="n">
        <v>1</v>
      </c>
      <c r="E5" s="102">
        <f>E4+B5</f>
        <v/>
      </c>
      <c r="F5" s="66">
        <f>F4+C5</f>
        <v/>
      </c>
      <c r="G5" s="66">
        <f>G4+D5</f>
        <v/>
      </c>
      <c r="H5" s="0" t="inlineStr">
        <is>
          <t>Navegacion corta</t>
        </is>
      </c>
    </row>
    <row r="6">
      <c r="A6" s="101" t="n">
        <v>45697</v>
      </c>
      <c r="B6" s="102" t="n">
        <v>1.4</v>
      </c>
      <c r="C6" s="66" t="n">
        <v>1</v>
      </c>
      <c r="D6" s="66" t="n">
        <v>2</v>
      </c>
      <c r="E6" s="102">
        <f>E5+B6</f>
        <v/>
      </c>
      <c r="F6" s="66">
        <f>F5+C6</f>
        <v/>
      </c>
      <c r="G6" s="66">
        <f>G5+D6</f>
        <v/>
      </c>
      <c r="H6" s="0" t="inlineStr">
        <is>
          <t>Circuitos y toma final</t>
        </is>
      </c>
    </row>
    <row r="7">
      <c r="A7" s="101" t="n">
        <v>45711</v>
      </c>
      <c r="B7" s="102" t="n">
        <v>2.1</v>
      </c>
      <c r="C7" s="66" t="n">
        <v>1</v>
      </c>
      <c r="D7" s="66" t="n">
        <v>1</v>
      </c>
      <c r="E7" s="102">
        <f>E6+B7</f>
        <v/>
      </c>
      <c r="F7" s="66">
        <f>F6+C7</f>
        <v/>
      </c>
      <c r="G7" s="66">
        <f>G6+D7</f>
        <v/>
      </c>
      <c r="H7" s="0" t="inlineStr">
        <is>
          <t>Navegacion</t>
        </is>
      </c>
    </row>
    <row r="8">
      <c r="A8" s="101" t="n">
        <v>45725</v>
      </c>
      <c r="B8" s="102" t="n">
        <v>1.8</v>
      </c>
      <c r="C8" s="66" t="n">
        <v>1</v>
      </c>
      <c r="D8" s="66" t="n">
        <v>1</v>
      </c>
      <c r="E8" s="102">
        <f>E7+B8</f>
        <v/>
      </c>
      <c r="F8" s="66">
        <f>F7+C8</f>
        <v/>
      </c>
      <c r="G8" s="66">
        <f>G7+D8</f>
        <v/>
      </c>
      <c r="H8" s="0" t="inlineStr">
        <is>
          <t>Vuelo local</t>
        </is>
      </c>
    </row>
    <row r="9">
      <c r="A9" s="101" t="n">
        <v>45746</v>
      </c>
      <c r="B9" s="102" t="n">
        <v>2.4</v>
      </c>
      <c r="C9" s="66" t="n">
        <v>1</v>
      </c>
      <c r="D9" s="66" t="n">
        <v>1</v>
      </c>
      <c r="E9" s="102">
        <f>E8+B9</f>
        <v/>
      </c>
      <c r="F9" s="66">
        <f>F8+C9</f>
        <v/>
      </c>
      <c r="G9" s="66">
        <f>G8+D9</f>
        <v/>
      </c>
      <c r="H9" s="0" t="inlineStr">
        <is>
          <t>Navegacion</t>
        </is>
      </c>
    </row>
    <row r="10">
      <c r="A10" s="101" t="n">
        <v>45760</v>
      </c>
      <c r="B10" s="102" t="n">
        <v>1.5</v>
      </c>
      <c r="C10" s="66" t="n">
        <v>1</v>
      </c>
      <c r="D10" s="66" t="n">
        <v>1</v>
      </c>
      <c r="E10" s="102">
        <f>E9+B10</f>
        <v/>
      </c>
      <c r="F10" s="66">
        <f>F9+C10</f>
        <v/>
      </c>
      <c r="G10" s="66">
        <f>G9+D10</f>
        <v/>
      </c>
      <c r="H10" s="0" t="inlineStr">
        <is>
          <t>Vuelo local</t>
        </is>
      </c>
    </row>
    <row r="11">
      <c r="A11" s="101" t="n">
        <v>45774</v>
      </c>
      <c r="B11" s="102" t="n">
        <v>1.9</v>
      </c>
      <c r="C11" s="66" t="n">
        <v>1</v>
      </c>
      <c r="D11" s="66" t="n">
        <v>2</v>
      </c>
      <c r="E11" s="102">
        <f>E10+B11</f>
        <v/>
      </c>
      <c r="F11" s="66">
        <f>F10+C11</f>
        <v/>
      </c>
      <c r="G11" s="66">
        <f>G10+D11</f>
        <v/>
      </c>
      <c r="H11" s="0" t="inlineStr">
        <is>
          <t>Entrenamiento</t>
        </is>
      </c>
    </row>
    <row r="12">
      <c r="A12" s="101" t="n">
        <v>45788</v>
      </c>
      <c r="B12" s="102" t="n">
        <v>2.2</v>
      </c>
      <c r="C12" s="66" t="n">
        <v>1</v>
      </c>
      <c r="D12" s="66" t="n">
        <v>1</v>
      </c>
      <c r="E12" s="102">
        <f>E11+B12</f>
        <v/>
      </c>
      <c r="F12" s="66">
        <f>F11+C12</f>
        <v/>
      </c>
      <c r="G12" s="66">
        <f>G11+D12</f>
        <v/>
      </c>
      <c r="H12" s="0" t="inlineStr">
        <is>
          <t>Navegacion</t>
        </is>
      </c>
    </row>
    <row r="13">
      <c r="A13" s="101" t="n">
        <v>45802</v>
      </c>
      <c r="B13" s="102" t="n">
        <v>1.7</v>
      </c>
      <c r="C13" s="66" t="n">
        <v>1</v>
      </c>
      <c r="D13" s="66" t="n">
        <v>1</v>
      </c>
      <c r="E13" s="102">
        <f>E12+B13</f>
        <v/>
      </c>
      <c r="F13" s="66">
        <f>F12+C13</f>
        <v/>
      </c>
      <c r="G13" s="66">
        <f>G12+D13</f>
        <v/>
      </c>
      <c r="H13" s="0" t="inlineStr">
        <is>
          <t>Vuelo local</t>
        </is>
      </c>
    </row>
    <row r="14">
      <c r="A14" s="101" t="n">
        <v>45823</v>
      </c>
      <c r="B14" s="102" t="n">
        <v>2.6</v>
      </c>
      <c r="C14" s="66" t="n">
        <v>1</v>
      </c>
      <c r="D14" s="66" t="n">
        <v>1</v>
      </c>
      <c r="E14" s="102">
        <f>E13+B14</f>
        <v/>
      </c>
      <c r="F14" s="66">
        <f>F13+C14</f>
        <v/>
      </c>
      <c r="G14" s="66">
        <f>G13+D14</f>
        <v/>
      </c>
      <c r="H14" s="0" t="inlineStr">
        <is>
          <t>Navegacion</t>
        </is>
      </c>
    </row>
    <row r="15">
      <c r="A15" s="101" t="n">
        <v>45844</v>
      </c>
      <c r="B15" s="102" t="n">
        <v>1.3</v>
      </c>
      <c r="C15" s="66" t="n">
        <v>1</v>
      </c>
      <c r="D15" s="66" t="n">
        <v>2</v>
      </c>
      <c r="E15" s="102">
        <f>E14+B15</f>
        <v/>
      </c>
      <c r="F15" s="66">
        <f>F14+C15</f>
        <v/>
      </c>
      <c r="G15" s="66">
        <f>G14+D15</f>
        <v/>
      </c>
      <c r="H15" s="0" t="inlineStr">
        <is>
          <t>Circuitos</t>
        </is>
      </c>
    </row>
    <row r="16">
      <c r="A16" s="101" t="n">
        <v>45865</v>
      </c>
      <c r="B16" s="102" t="n">
        <v>2</v>
      </c>
      <c r="C16" s="66" t="n">
        <v>1</v>
      </c>
      <c r="D16" s="66" t="n">
        <v>1</v>
      </c>
      <c r="E16" s="102">
        <f>E15+B16</f>
        <v/>
      </c>
      <c r="F16" s="66">
        <f>F15+C16</f>
        <v/>
      </c>
      <c r="G16" s="66">
        <f>G15+D16</f>
        <v/>
      </c>
      <c r="H16" s="0" t="inlineStr">
        <is>
          <t>Vuelo local</t>
        </is>
      </c>
    </row>
    <row r="17">
      <c r="A17" s="101" t="n">
        <v>45886</v>
      </c>
      <c r="B17" s="102" t="n">
        <v>2.8</v>
      </c>
      <c r="C17" s="66" t="n">
        <v>1</v>
      </c>
      <c r="D17" s="66" t="n">
        <v>1</v>
      </c>
      <c r="E17" s="102">
        <f>E16+B17</f>
        <v/>
      </c>
      <c r="F17" s="66">
        <f>F16+C17</f>
        <v/>
      </c>
      <c r="G17" s="66">
        <f>G16+D17</f>
        <v/>
      </c>
      <c r="H17" s="0" t="inlineStr">
        <is>
          <t>Navegacion</t>
        </is>
      </c>
    </row>
    <row r="18">
      <c r="A18" s="101" t="n">
        <v>45907</v>
      </c>
      <c r="B18" s="102" t="n">
        <v>1.6</v>
      </c>
      <c r="C18" s="66" t="n">
        <v>1</v>
      </c>
      <c r="D18" s="66" t="n">
        <v>1</v>
      </c>
      <c r="E18" s="102">
        <f>E17+B18</f>
        <v/>
      </c>
      <c r="F18" s="66">
        <f>F17+C18</f>
        <v/>
      </c>
      <c r="G18" s="66">
        <f>G17+D18</f>
        <v/>
      </c>
      <c r="H18" s="0" t="inlineStr">
        <is>
          <t>Vuelo local</t>
        </is>
      </c>
    </row>
    <row r="19">
      <c r="A19" s="101" t="n">
        <v>45928</v>
      </c>
      <c r="B19" s="102" t="n">
        <v>2.3</v>
      </c>
      <c r="C19" s="66" t="n">
        <v>1</v>
      </c>
      <c r="D19" s="66" t="n">
        <v>2</v>
      </c>
      <c r="E19" s="102">
        <f>E18+B19</f>
        <v/>
      </c>
      <c r="F19" s="66">
        <f>F18+C19</f>
        <v/>
      </c>
      <c r="G19" s="66">
        <f>G18+D19</f>
        <v/>
      </c>
      <c r="H19" s="0" t="inlineStr">
        <is>
          <t>Entrenamiento</t>
        </is>
      </c>
    </row>
    <row r="20">
      <c r="A20" s="101" t="n">
        <v>45949</v>
      </c>
      <c r="B20" s="102" t="n">
        <v>1.9</v>
      </c>
      <c r="C20" s="66" t="n">
        <v>1</v>
      </c>
      <c r="D20" s="66" t="n">
        <v>1</v>
      </c>
      <c r="E20" s="102">
        <f>E19+B20</f>
        <v/>
      </c>
      <c r="F20" s="66">
        <f>F19+C20</f>
        <v/>
      </c>
      <c r="G20" s="66">
        <f>G19+D20</f>
        <v/>
      </c>
      <c r="H20" s="0" t="inlineStr">
        <is>
          <t>Navegacion</t>
        </is>
      </c>
    </row>
    <row r="21" ht="15.75" customHeight="1" s="48">
      <c r="A21" s="101" t="n">
        <v>45970</v>
      </c>
      <c r="B21" s="102" t="n">
        <v>2.1</v>
      </c>
      <c r="C21" s="66" t="n">
        <v>1</v>
      </c>
      <c r="D21" s="66" t="n">
        <v>1</v>
      </c>
      <c r="E21" s="102">
        <f>E20+B21</f>
        <v/>
      </c>
      <c r="F21" s="66">
        <f>F20+C21</f>
        <v/>
      </c>
      <c r="G21" s="66">
        <f>G20+D21</f>
        <v/>
      </c>
      <c r="H21" s="0" t="inlineStr">
        <is>
          <t>Vuelo local</t>
        </is>
      </c>
    </row>
    <row r="22" ht="15.75" customHeight="1" s="48">
      <c r="A22" s="101" t="n">
        <v>45991</v>
      </c>
      <c r="B22" s="102" t="n">
        <v>2.5</v>
      </c>
      <c r="C22" s="66" t="n">
        <v>1</v>
      </c>
      <c r="D22" s="66" t="n">
        <v>1</v>
      </c>
      <c r="E22" s="102">
        <f>E21+B22</f>
        <v/>
      </c>
      <c r="F22" s="66">
        <f>F21+C22</f>
        <v/>
      </c>
      <c r="G22" s="66">
        <f>G21+D22</f>
        <v/>
      </c>
      <c r="H22" s="0" t="inlineStr">
        <is>
          <t>Navegacion</t>
        </is>
      </c>
    </row>
    <row r="23" ht="15.75" customHeight="1" s="48">
      <c r="A23" s="101" t="n">
        <v>46012</v>
      </c>
      <c r="B23" s="102" t="n">
        <v>1.4</v>
      </c>
      <c r="C23" s="66" t="n">
        <v>1</v>
      </c>
      <c r="D23" s="66" t="n">
        <v>1</v>
      </c>
      <c r="E23" s="102">
        <f>E22+B23</f>
        <v/>
      </c>
      <c r="F23" s="66">
        <f>F22+C23</f>
        <v/>
      </c>
      <c r="G23" s="66">
        <f>G22+D23</f>
        <v/>
      </c>
      <c r="H23" s="0" t="inlineStr">
        <is>
          <t>Vuelo local</t>
        </is>
      </c>
    </row>
    <row r="24" ht="15.75" customHeight="1" s="48">
      <c r="A24" s="101" t="n">
        <v>46033</v>
      </c>
      <c r="B24" s="102" t="n">
        <v>1.8</v>
      </c>
      <c r="C24" s="66" t="n">
        <v>1</v>
      </c>
      <c r="D24" s="66" t="n">
        <v>1</v>
      </c>
      <c r="E24" s="102">
        <f>E23+B24</f>
        <v/>
      </c>
      <c r="F24" s="66">
        <f>F23+C24</f>
        <v/>
      </c>
      <c r="G24" s="66">
        <f>G23+D24</f>
        <v/>
      </c>
      <c r="H24" s="0" t="inlineStr">
        <is>
          <t>Vuelo local</t>
        </is>
      </c>
    </row>
    <row r="25" ht="15.75" customHeight="1" s="48">
      <c r="A25" s="101" t="n">
        <v>46054</v>
      </c>
      <c r="B25" s="102" t="n">
        <v>2.2</v>
      </c>
      <c r="C25" s="66" t="n">
        <v>1</v>
      </c>
      <c r="D25" s="66" t="n">
        <v>2</v>
      </c>
      <c r="E25" s="102">
        <f>E24+B25</f>
        <v/>
      </c>
      <c r="F25" s="66">
        <f>F24+C25</f>
        <v/>
      </c>
      <c r="G25" s="66">
        <f>G24+D25</f>
        <v/>
      </c>
      <c r="H25" s="0" t="inlineStr">
        <is>
          <t>Entrenamiento</t>
        </is>
      </c>
    </row>
    <row r="26" ht="15.75" customHeight="1" s="48">
      <c r="A26" s="101" t="n">
        <v>46075</v>
      </c>
      <c r="B26" s="102" t="n">
        <v>2</v>
      </c>
      <c r="C26" s="66" t="n">
        <v>1</v>
      </c>
      <c r="D26" s="66" t="n">
        <v>1</v>
      </c>
      <c r="E26" s="102">
        <f>E25+B26</f>
        <v/>
      </c>
      <c r="F26" s="66">
        <f>F25+C26</f>
        <v/>
      </c>
      <c r="G26" s="66">
        <f>G25+D26</f>
        <v/>
      </c>
      <c r="H26" s="0" t="inlineStr">
        <is>
          <t>Navegacion</t>
        </is>
      </c>
    </row>
    <row r="27" ht="15.75" customHeight="1" s="48">
      <c r="A27" s="101" t="n">
        <v>46096</v>
      </c>
      <c r="B27" s="102" t="n">
        <v>1.7</v>
      </c>
      <c r="C27" s="66" t="n">
        <v>1</v>
      </c>
      <c r="D27" s="66" t="n">
        <v>1</v>
      </c>
      <c r="E27" s="102">
        <f>E26+B27</f>
        <v/>
      </c>
      <c r="F27" s="66">
        <f>F26+C27</f>
        <v/>
      </c>
      <c r="G27" s="66">
        <f>G26+D27</f>
        <v/>
      </c>
      <c r="H27" s="0" t="inlineStr">
        <is>
          <t>Vuelo local</t>
        </is>
      </c>
    </row>
    <row r="28" ht="15.75" customHeight="1" s="48">
      <c r="A28" s="101" t="n">
        <v>46117</v>
      </c>
      <c r="B28" s="102" t="n">
        <v>2.4</v>
      </c>
      <c r="C28" s="66" t="n">
        <v>1</v>
      </c>
      <c r="D28" s="66" t="n">
        <v>1</v>
      </c>
      <c r="E28" s="102">
        <f>E27+B28</f>
        <v/>
      </c>
      <c r="F28" s="66">
        <f>F27+C28</f>
        <v/>
      </c>
      <c r="G28" s="66">
        <f>G27+D28</f>
        <v/>
      </c>
      <c r="H28" s="0" t="inlineStr">
        <is>
          <t>Navegacion</t>
        </is>
      </c>
    </row>
    <row r="29" ht="15.75" customHeight="1" s="48">
      <c r="A29" s="101" t="n">
        <v>46138</v>
      </c>
      <c r="B29" s="102" t="n">
        <v>1.5</v>
      </c>
      <c r="C29" s="66" t="n">
        <v>1</v>
      </c>
      <c r="D29" s="66" t="n">
        <v>1</v>
      </c>
      <c r="E29" s="102">
        <f>E28+B29</f>
        <v/>
      </c>
      <c r="F29" s="66">
        <f>F28+C29</f>
        <v/>
      </c>
      <c r="G29" s="66">
        <f>G28+D29</f>
        <v/>
      </c>
      <c r="H29" s="0" t="inlineStr">
        <is>
          <t>Vuelo local</t>
        </is>
      </c>
    </row>
    <row r="30" ht="15.75" customHeight="1" s="48">
      <c r="A30" s="101" t="n">
        <v>46152</v>
      </c>
      <c r="B30" s="102" t="n">
        <v>2.1</v>
      </c>
      <c r="C30" s="66" t="n">
        <v>1</v>
      </c>
      <c r="D30" s="66" t="n">
        <v>2</v>
      </c>
      <c r="E30" s="102">
        <f>E29+B30</f>
        <v/>
      </c>
      <c r="F30" s="66">
        <f>F29+C30</f>
        <v/>
      </c>
      <c r="G30" s="66">
        <f>G29+D30</f>
        <v/>
      </c>
      <c r="H30" s="0" t="inlineStr">
        <is>
          <t>Vuelo previo al corte del trabajo</t>
        </is>
      </c>
    </row>
    <row r="31" ht="15.75" customHeight="1" s="48"/>
    <row r="32" ht="15.75" customHeight="1" s="48"/>
    <row r="33" ht="15.75" customHeight="1" s="48"/>
    <row r="34" ht="15.75" customHeight="1" s="48"/>
    <row r="35" ht="15.75" customHeight="1" s="48"/>
    <row r="36" ht="15.75" customHeight="1" s="48"/>
    <row r="37" ht="15.75" customHeight="1" s="48"/>
    <row r="38" ht="15.75" customHeight="1" s="48"/>
    <row r="39" ht="15.75" customHeight="1" s="48"/>
    <row r="40" ht="15.75" customHeight="1" s="48"/>
    <row r="41" ht="15.75" customHeight="1" s="48"/>
    <row r="42" ht="15.75" customHeight="1" s="48"/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38" customWidth="1" style="48" min="1" max="1"/>
    <col width="13" customWidth="1" style="48" min="2" max="2"/>
    <col width="13" customWidth="1" style="48" min="3" max="4"/>
    <col width="13" customWidth="1" style="48" min="4" max="4"/>
    <col width="13" customWidth="1" style="48" min="5" max="26"/>
    <col width="13" customWidth="1" style="48" min="6" max="6"/>
    <col width="13" customWidth="1" style="48" min="7" max="7"/>
    <col width="13" customWidth="1" style="48" min="8" max="8"/>
    <col width="13" customWidth="1" style="48" min="9" max="9"/>
    <col width="13" customWidth="1" style="48" min="10" max="10"/>
    <col width="54" customWidth="1" style="48" min="11" max="11"/>
    <col width="18" customWidth="1" style="48" min="12" max="12"/>
  </cols>
  <sheetData>
    <row r="1">
      <c r="A1" s="67" t="inlineStr">
        <is>
          <t>Registration</t>
        </is>
      </c>
      <c r="B1" s="67" t="inlineStr">
        <is>
          <t>EC-SIM</t>
        </is>
      </c>
      <c r="C1" s="67" t="n"/>
      <c r="D1" s="67" t="n"/>
      <c r="E1" s="103" t="n"/>
      <c r="F1" s="103" t="inlineStr">
        <is>
          <t>Date:</t>
        </is>
      </c>
      <c r="G1" s="103">
        <f>TODAY()</f>
        <v/>
      </c>
      <c r="H1" s="104" t="n"/>
      <c r="I1" s="104" t="n"/>
      <c r="J1" s="70" t="n"/>
      <c r="K1" s="67" t="n"/>
      <c r="L1" s="67" t="n"/>
    </row>
    <row r="2">
      <c r="A2" s="71" t="inlineStr">
        <is>
          <t>Aircraft Model</t>
        </is>
      </c>
      <c r="B2" s="71" t="inlineStr">
        <is>
          <t>Socata TB 10</t>
        </is>
      </c>
      <c r="C2" s="72" t="n"/>
      <c r="D2" s="72" t="n"/>
      <c r="E2" s="105" t="n"/>
      <c r="F2" s="105" t="n"/>
      <c r="G2" s="106" t="inlineStr">
        <is>
          <t>Date</t>
        </is>
      </c>
      <c r="H2" s="107" t="inlineStr">
        <is>
          <t>Hrs</t>
        </is>
      </c>
      <c r="I2" s="107" t="inlineStr">
        <is>
          <t>Ldgs</t>
        </is>
      </c>
      <c r="J2" s="76" t="n"/>
      <c r="K2" s="72" t="n"/>
      <c r="L2" s="72" t="n"/>
    </row>
    <row r="3">
      <c r="A3" s="71" t="inlineStr">
        <is>
          <t>Serial Number</t>
        </is>
      </c>
      <c r="B3" s="71" t="n">
        <v>649</v>
      </c>
      <c r="C3" s="72" t="n"/>
      <c r="D3" s="72" t="n"/>
      <c r="E3" s="105" t="n"/>
      <c r="F3" s="106" t="inlineStr">
        <is>
          <t>Last readout of the Flight Log:</t>
        </is>
      </c>
      <c r="G3" s="107">
        <f>LOOKUP(2,1/('Flight Log'!$A:$A&lt;&gt;""),'Flight Log'!$A:$A)</f>
        <v/>
      </c>
      <c r="H3" s="106">
        <f>LOOKUP(2,1/('Flight Log'!$E:$E&lt;&gt;""),'Flight Log'!$E:$E)</f>
        <v/>
      </c>
      <c r="I3" s="77">
        <f>LOOKUP(2,1/('Flight Log'!$G:$G&lt;&gt;""),'Flight Log'!$G:$G)</f>
        <v/>
      </c>
      <c r="J3" s="76" t="n"/>
      <c r="K3" s="72" t="n"/>
      <c r="L3" s="72" t="n"/>
    </row>
    <row r="4">
      <c r="A4" s="71" t="inlineStr">
        <is>
          <t>Manufacture Date (Y)</t>
        </is>
      </c>
      <c r="B4" s="71" t="n">
        <v>1988</v>
      </c>
      <c r="C4" s="72" t="n"/>
      <c r="D4" s="72" t="n"/>
      <c r="E4" s="105" t="n"/>
      <c r="F4" s="105" t="n"/>
      <c r="G4" s="105" t="n"/>
      <c r="H4" s="108" t="n"/>
      <c r="I4" s="108" t="n"/>
      <c r="J4" s="76" t="n"/>
      <c r="K4" s="72" t="n"/>
      <c r="L4" s="72" t="n"/>
    </row>
    <row r="5">
      <c r="A5" s="67" t="inlineStr">
        <is>
          <t>Scheduled Test/Tasks</t>
        </is>
      </c>
      <c r="B5" s="109" t="n"/>
      <c r="C5" s="109" t="n"/>
      <c r="D5" s="109" t="n"/>
      <c r="E5" s="109" t="n"/>
      <c r="F5" s="109" t="n"/>
      <c r="G5" s="109" t="n"/>
      <c r="H5" s="109" t="n"/>
      <c r="I5" s="109" t="n"/>
      <c r="J5" s="109" t="n"/>
      <c r="K5" s="109" t="n"/>
      <c r="L5" s="110" t="n"/>
    </row>
    <row r="6">
      <c r="A6" s="79" t="n"/>
      <c r="B6" s="79" t="inlineStr">
        <is>
          <t>Interval</t>
        </is>
      </c>
      <c r="C6" s="109" t="n"/>
      <c r="D6" s="110" t="n"/>
      <c r="E6" s="111" t="inlineStr">
        <is>
          <t>Interval FH/ CyC/Ldgs</t>
        </is>
      </c>
      <c r="F6" s="109" t="n"/>
      <c r="G6" s="110" t="n"/>
      <c r="H6" s="112" t="inlineStr">
        <is>
          <t>Calendar</t>
        </is>
      </c>
      <c r="I6" s="109" t="n"/>
      <c r="J6" s="110" t="n"/>
      <c r="K6" s="79" t="inlineStr">
        <is>
          <t>Applicable ICA reference</t>
        </is>
      </c>
      <c r="L6" s="110" t="n"/>
    </row>
    <row r="7">
      <c r="A7" s="82" t="inlineStr">
        <is>
          <t>Inspection/Check/Task - description</t>
        </is>
      </c>
      <c r="B7" s="82" t="inlineStr">
        <is>
          <t>FH</t>
        </is>
      </c>
      <c r="C7" s="82" t="inlineStr">
        <is>
          <t>Ldg/Cycle</t>
        </is>
      </c>
      <c r="D7" s="82" t="inlineStr">
        <is>
          <t>days</t>
        </is>
      </c>
      <c r="E7" s="113" t="inlineStr">
        <is>
          <t>Performed</t>
        </is>
      </c>
      <c r="F7" s="113" t="inlineStr">
        <is>
          <t>Next due</t>
        </is>
      </c>
      <c r="G7" s="113" t="inlineStr">
        <is>
          <t>to go</t>
        </is>
      </c>
      <c r="H7" s="114" t="inlineStr">
        <is>
          <t>Performed</t>
        </is>
      </c>
      <c r="I7" s="114" t="inlineStr">
        <is>
          <t>Next due</t>
        </is>
      </c>
      <c r="J7" s="85" t="inlineStr">
        <is>
          <t>to go</t>
        </is>
      </c>
      <c r="K7" s="82" t="inlineStr">
        <is>
          <t>Document / Revision</t>
        </is>
      </c>
      <c r="L7" s="110" t="n"/>
    </row>
    <row r="8">
      <c r="A8" s="86" t="inlineStr">
        <is>
          <t>A Inspection - First 25 hours</t>
        </is>
      </c>
      <c r="B8" s="86" t="n">
        <v>25</v>
      </c>
      <c r="C8" s="86" t="n"/>
      <c r="D8" s="86" t="n"/>
      <c r="E8" s="106" t="n">
        <v>25</v>
      </c>
      <c r="F8" s="106" t="inlineStr">
        <is>
          <t>Completed</t>
        </is>
      </c>
      <c r="G8" s="106" t="inlineStr"/>
      <c r="H8" s="107" t="n"/>
      <c r="I8" s="107">
        <f>IF(AND(D8&lt;&gt;"",H8&lt;&gt;""),H8+D8,"")</f>
        <v/>
      </c>
      <c r="J8" s="77">
        <f>IF(I8="","",I8-$G$3)</f>
        <v/>
      </c>
      <c r="K8" s="86" t="inlineStr">
        <is>
          <t>SOCATA TB 10 MM Rev.18, 05-20-00 / 05-20-02</t>
        </is>
      </c>
      <c r="L8" s="72" t="n"/>
    </row>
    <row r="9">
      <c r="A9" s="86" t="inlineStr">
        <is>
          <t>2A Inspection / VP50</t>
        </is>
      </c>
      <c r="B9" s="86" t="n">
        <v>50</v>
      </c>
      <c r="C9" s="86" t="n"/>
      <c r="D9" s="86" t="n">
        <v>180</v>
      </c>
      <c r="E9" s="106" t="n">
        <v>2100</v>
      </c>
      <c r="F9" s="106">
        <f>IF(AND(B9&lt;&gt;"",E9&lt;&gt;""),E9+B9,IF(AND(C9&lt;&gt;"",E9&lt;&gt;""),E9+C9,""))</f>
        <v/>
      </c>
      <c r="G9" s="106">
        <f>IF(F9="","",F9-IF(B9&lt;&gt;"",$H$3,$I$3))</f>
        <v/>
      </c>
      <c r="H9" s="107" t="n">
        <v>46068</v>
      </c>
      <c r="I9" s="107">
        <f>IF(AND(D9&lt;&gt;"",H9&lt;&gt;""),H9+D9,"")</f>
        <v/>
      </c>
      <c r="J9" s="77">
        <f>IF(I9="","",I9-$G$3)</f>
        <v/>
      </c>
      <c r="K9" s="86" t="inlineStr">
        <is>
          <t>SOCATA TB 10 MM Rev.18, 05-20-00 / 05-20-03</t>
        </is>
      </c>
      <c r="L9" s="72" t="n"/>
    </row>
    <row r="10">
      <c r="A10" s="86" t="inlineStr">
        <is>
          <t>4A Inspection / VP100</t>
        </is>
      </c>
      <c r="B10" s="86" t="n">
        <v>100</v>
      </c>
      <c r="C10" s="86" t="n"/>
      <c r="D10" s="86" t="n"/>
      <c r="E10" s="106" t="n">
        <v>2050</v>
      </c>
      <c r="F10" s="106">
        <f>IF(AND(B10&lt;&gt;"",E10&lt;&gt;""),E10+B10,IF(AND(C10&lt;&gt;"",E10&lt;&gt;""),E10+C10,""))</f>
        <v/>
      </c>
      <c r="G10" s="106">
        <f>IF(F10="","",F10-IF(B10&lt;&gt;"",$H$3,$I$3))</f>
        <v/>
      </c>
      <c r="H10" s="107" t="n"/>
      <c r="I10" s="107">
        <f>IF(AND(D10&lt;&gt;"",H10&lt;&gt;""),H10+D10,"")</f>
        <v/>
      </c>
      <c r="J10" s="77">
        <f>IF(I10="","",I10-$G$3)</f>
        <v/>
      </c>
      <c r="K10" s="86" t="inlineStr">
        <is>
          <t>SOCATA TB 10 MM Rev.18, 05-20-00 / 05-20-04</t>
        </is>
      </c>
      <c r="L10" s="72" t="n"/>
    </row>
    <row r="11">
      <c r="A11" s="86" t="inlineStr">
        <is>
          <t>80A Major Inspection</t>
        </is>
      </c>
      <c r="B11" s="86" t="n">
        <v>2000</v>
      </c>
      <c r="C11" s="86" t="n"/>
      <c r="D11" s="86" t="n"/>
      <c r="E11" s="106" t="n">
        <v>2000</v>
      </c>
      <c r="F11" s="106">
        <f>IF(AND(B11&lt;&gt;"",E11&lt;&gt;""),E11+B11,IF(AND(C11&lt;&gt;"",E11&lt;&gt;""),E11+C11,""))</f>
        <v/>
      </c>
      <c r="G11" s="106">
        <f>IF(F11="","",F11-IF(B11&lt;&gt;"",$H$3,$I$3))</f>
        <v/>
      </c>
      <c r="H11" s="107" t="n"/>
      <c r="I11" s="107">
        <f>IF(AND(D11&lt;&gt;"",H11&lt;&gt;""),H11+D11,"")</f>
        <v/>
      </c>
      <c r="J11" s="77">
        <f>IF(I11="","",I11-$G$3)</f>
        <v/>
      </c>
      <c r="K11" s="86" t="inlineStr">
        <is>
          <t>SOCATA TB 10 MM Rev.18, 05-20-00 / 05-20-05</t>
        </is>
      </c>
      <c r="L11" s="72" t="n"/>
    </row>
    <row r="12">
      <c r="A12" s="86" t="inlineStr">
        <is>
          <t>Annual Inspection (AI)</t>
        </is>
      </c>
      <c r="B12" s="86" t="n"/>
      <c r="C12" s="86" t="n"/>
      <c r="D12" s="86" t="n">
        <v>365</v>
      </c>
      <c r="E12" s="106" t="n"/>
      <c r="F12" s="106">
        <f>IF(AND(B12&lt;&gt;"",E12&lt;&gt;""),E12+B12,IF(AND(C12&lt;&gt;"",E12&lt;&gt;""),E12+C12,""))</f>
        <v/>
      </c>
      <c r="G12" s="106">
        <f>IF(F12="","",F12-IF(B12&lt;&gt;"",$H$3,$I$3))</f>
        <v/>
      </c>
      <c r="H12" s="107" t="n">
        <v>46082</v>
      </c>
      <c r="I12" s="107">
        <f>IF(AND(D12&lt;&gt;"",H12&lt;&gt;""),H12+D12,"")</f>
        <v/>
      </c>
      <c r="J12" s="77">
        <f>IF(I12="","",I12-$G$3)</f>
        <v/>
      </c>
      <c r="K12" s="86" t="inlineStr">
        <is>
          <t>SOCATA TB 10 MM Rev.18, 05-20-00 / 05-20-06</t>
        </is>
      </c>
      <c r="L12" s="72" t="n"/>
    </row>
    <row r="13">
      <c r="A13" s="86" t="n"/>
      <c r="B13" s="86" t="n"/>
      <c r="C13" s="86" t="n"/>
      <c r="D13" s="86" t="n"/>
      <c r="E13" s="106" t="n"/>
      <c r="F13" s="106" t="n"/>
      <c r="G13" s="106" t="n"/>
      <c r="H13" s="107" t="n"/>
      <c r="I13" s="107" t="n"/>
      <c r="J13" s="77" t="n"/>
      <c r="K13" s="86" t="n"/>
      <c r="L13" s="110" t="n"/>
    </row>
    <row r="14">
      <c r="A14" s="86" t="n"/>
      <c r="B14" s="86" t="n"/>
      <c r="C14" s="86" t="n"/>
      <c r="D14" s="86" t="n"/>
      <c r="E14" s="106" t="n"/>
      <c r="F14" s="106" t="n"/>
      <c r="G14" s="106" t="n"/>
      <c r="H14" s="107" t="n"/>
      <c r="I14" s="107" t="n"/>
      <c r="J14" s="77" t="n"/>
      <c r="K14" s="86" t="n"/>
      <c r="L14" s="110" t="n"/>
    </row>
    <row r="15">
      <c r="A15" s="86" t="n"/>
      <c r="B15" s="86" t="n"/>
      <c r="C15" s="86" t="n"/>
      <c r="D15" s="86" t="n"/>
      <c r="E15" s="106" t="n"/>
      <c r="F15" s="106" t="n"/>
      <c r="G15" s="106" t="n"/>
      <c r="H15" s="107" t="n"/>
      <c r="I15" s="107" t="n"/>
      <c r="J15" s="77" t="n"/>
      <c r="K15" s="86" t="n"/>
      <c r="L15" s="110" t="n"/>
    </row>
    <row r="16">
      <c r="A16" s="67" t="inlineStr">
        <is>
          <t>Special Points Test/Tasks</t>
        </is>
      </c>
      <c r="B16" s="109" t="n"/>
      <c r="C16" s="109" t="n"/>
      <c r="D16" s="109" t="n"/>
      <c r="E16" s="109" t="n"/>
      <c r="F16" s="109" t="n"/>
      <c r="G16" s="109" t="n"/>
      <c r="H16" s="109" t="n"/>
      <c r="I16" s="109" t="n"/>
      <c r="J16" s="109" t="n"/>
      <c r="K16" s="109" t="n"/>
      <c r="L16" s="110" t="n"/>
    </row>
    <row r="17" ht="15" customHeight="1" s="48">
      <c r="A17" s="79" t="n"/>
      <c r="B17" s="79" t="inlineStr">
        <is>
          <t>Interval</t>
        </is>
      </c>
      <c r="C17" s="109" t="n"/>
      <c r="D17" s="110" t="n"/>
      <c r="E17" s="111" t="inlineStr">
        <is>
          <t>Interval FH/ CyC/Ldgs</t>
        </is>
      </c>
      <c r="F17" s="109" t="n"/>
      <c r="G17" s="110" t="n"/>
      <c r="H17" s="112" t="inlineStr">
        <is>
          <t>Calendar</t>
        </is>
      </c>
      <c r="I17" s="109" t="n"/>
      <c r="J17" s="110" t="n"/>
      <c r="K17" s="79" t="inlineStr">
        <is>
          <t>Applicable ICA reference</t>
        </is>
      </c>
      <c r="L17" s="110" t="n"/>
    </row>
    <row r="18">
      <c r="A18" s="82" t="inlineStr">
        <is>
          <t>Inspection/Check/Task - description</t>
        </is>
      </c>
      <c r="B18" s="82" t="inlineStr">
        <is>
          <t>FH</t>
        </is>
      </c>
      <c r="C18" s="82" t="inlineStr">
        <is>
          <t>Ldg/Cycle</t>
        </is>
      </c>
      <c r="D18" s="82" t="inlineStr">
        <is>
          <t>days</t>
        </is>
      </c>
      <c r="E18" s="113" t="inlineStr">
        <is>
          <t>Performed</t>
        </is>
      </c>
      <c r="F18" s="113" t="inlineStr">
        <is>
          <t>Next due</t>
        </is>
      </c>
      <c r="G18" s="113" t="inlineStr">
        <is>
          <t>to go</t>
        </is>
      </c>
      <c r="H18" s="114" t="inlineStr">
        <is>
          <t>Performed</t>
        </is>
      </c>
      <c r="I18" s="114" t="inlineStr">
        <is>
          <t>Next due</t>
        </is>
      </c>
      <c r="J18" s="85" t="inlineStr">
        <is>
          <t>to go</t>
        </is>
      </c>
      <c r="K18" s="82" t="inlineStr">
        <is>
          <t>Document / Revision</t>
        </is>
      </c>
      <c r="L18" s="110" t="n"/>
    </row>
    <row r="19">
      <c r="A19" s="86" t="inlineStr">
        <is>
          <t>Engine special inspection</t>
        </is>
      </c>
      <c r="B19" s="86" t="n">
        <v>400</v>
      </c>
      <c r="C19" s="86" t="n"/>
      <c r="D19" s="86" t="n"/>
      <c r="E19" s="106" t="n">
        <v>2000</v>
      </c>
      <c r="F19" s="106">
        <f>IF(AND(B19&lt;&gt;"",E19&lt;&gt;""),E19+B19,IF(AND(C19&lt;&gt;"",E19&lt;&gt;""),E19+C19,""))</f>
        <v/>
      </c>
      <c r="G19" s="106">
        <f>IF(F19="","",F19-IF(B19&lt;&gt;"",$H$3,$I$3))</f>
        <v/>
      </c>
      <c r="H19" s="107" t="n"/>
      <c r="I19" s="107">
        <f>IF(AND(D19&lt;&gt;"",H19&lt;&gt;""),H19+D19,"")</f>
        <v/>
      </c>
      <c r="J19" s="77">
        <f>IF(I19="","",I19-$G$3)</f>
        <v/>
      </c>
      <c r="K19" s="86" t="inlineStr">
        <is>
          <t>SOCATA TB 10 MM Rev.18, 05-20-00 / 05-20-01 p.234-235</t>
        </is>
      </c>
      <c r="L19" s="72" t="n"/>
    </row>
    <row r="20">
      <c r="A20" s="86" t="inlineStr">
        <is>
          <t>500 hrs special inspection</t>
        </is>
      </c>
      <c r="B20" s="86" t="n">
        <v>500</v>
      </c>
      <c r="C20" s="86" t="n"/>
      <c r="D20" s="86" t="n"/>
      <c r="E20" s="106" t="n">
        <v>2000</v>
      </c>
      <c r="F20" s="106">
        <f>IF(AND(B20&lt;&gt;"",E20&lt;&gt;""),E20+B20,IF(AND(C20&lt;&gt;"",E20&lt;&gt;""),E20+C20,""))</f>
        <v/>
      </c>
      <c r="G20" s="106">
        <f>IF(F20="","",F20-IF(B20&lt;&gt;"",$H$3,$I$3))</f>
        <v/>
      </c>
      <c r="H20" s="107" t="n"/>
      <c r="I20" s="107">
        <f>IF(AND(D20&lt;&gt;"",H20&lt;&gt;""),H20+D20,"")</f>
        <v/>
      </c>
      <c r="J20" s="77">
        <f>IF(I20="","",I20-$G$3)</f>
        <v/>
      </c>
      <c r="K20" s="86" t="inlineStr">
        <is>
          <t>SOCATA TB 10 MM Rev.18, 05-20-00</t>
        </is>
      </c>
      <c r="L20" s="72" t="n"/>
    </row>
    <row r="21" ht="15.75" customHeight="1" s="48">
      <c r="A21" s="86" t="inlineStr">
        <is>
          <t>1000 hrs special inspection</t>
        </is>
      </c>
      <c r="B21" s="86" t="n">
        <v>1000</v>
      </c>
      <c r="C21" s="86" t="n"/>
      <c r="D21" s="86" t="n"/>
      <c r="E21" s="106" t="n">
        <v>2000</v>
      </c>
      <c r="F21" s="106">
        <f>IF(AND(B21&lt;&gt;"",E21&lt;&gt;""),E21+B21,IF(AND(C21&lt;&gt;"",E21&lt;&gt;""),E21+C21,""))</f>
        <v/>
      </c>
      <c r="G21" s="106">
        <f>IF(F21="","",F21-IF(B21&lt;&gt;"",$H$3,$I$3))</f>
        <v/>
      </c>
      <c r="H21" s="107" t="n"/>
      <c r="I21" s="107">
        <f>IF(AND(D21&lt;&gt;"",H21&lt;&gt;""),H21+D21,"")</f>
        <v/>
      </c>
      <c r="J21" s="77">
        <f>IF(I21="","",I21-$G$3)</f>
        <v/>
      </c>
      <c r="K21" s="86" t="inlineStr">
        <is>
          <t>SOCATA TB 10 MM Rev.18, 05-20-00</t>
        </is>
      </c>
      <c r="L21" s="72" t="n"/>
    </row>
    <row r="22" ht="15.75" customHeight="1" s="48">
      <c r="A22" s="86" t="inlineStr">
        <is>
          <t>Brake hydraulic fluid change</t>
        </is>
      </c>
      <c r="B22" s="86" t="n"/>
      <c r="C22" s="86" t="n"/>
      <c r="D22" s="86" t="n">
        <v>1095</v>
      </c>
      <c r="E22" s="106" t="n"/>
      <c r="F22" s="106">
        <f>IF(AND(B22&lt;&gt;"",E22&lt;&gt;""),E22+B22,IF(AND(C22&lt;&gt;"",E22&lt;&gt;""),E22+C22,""))</f>
        <v/>
      </c>
      <c r="G22" s="106">
        <f>IF(F22="","",F22-IF(B22&lt;&gt;"",$H$3,$I$3))</f>
        <v/>
      </c>
      <c r="H22" s="107" t="n">
        <v>45717</v>
      </c>
      <c r="I22" s="107">
        <f>IF(AND(D22&lt;&gt;"",H22&lt;&gt;""),H22+D22,"")</f>
        <v/>
      </c>
      <c r="J22" s="77">
        <f>IF(I22="","",I22-$G$3)</f>
        <v/>
      </c>
      <c r="K22" s="86" t="inlineStr">
        <is>
          <t>SOCATA TB 10 MM Rev.18, 05-20-01 p.219</t>
        </is>
      </c>
      <c r="L22" s="72" t="n"/>
    </row>
    <row r="23" ht="15.75" customHeight="1" s="48">
      <c r="A23" s="86" t="inlineStr">
        <is>
          <t>Fuel selector filtering element</t>
        </is>
      </c>
      <c r="B23" s="86" t="n">
        <v>300</v>
      </c>
      <c r="C23" s="86" t="n"/>
      <c r="D23" s="86" t="n">
        <v>365</v>
      </c>
      <c r="E23" s="106" t="n">
        <v>2000</v>
      </c>
      <c r="F23" s="106">
        <f>IF(AND(B23&lt;&gt;"",E23&lt;&gt;""),E23+B23,IF(AND(C23&lt;&gt;"",E23&lt;&gt;""),E23+C23,""))</f>
        <v/>
      </c>
      <c r="G23" s="106">
        <f>IF(F23="","",F23-IF(B23&lt;&gt;"",$H$3,$I$3))</f>
        <v/>
      </c>
      <c r="H23" s="107" t="n">
        <v>46068</v>
      </c>
      <c r="I23" s="107">
        <f>IF(AND(D23&lt;&gt;"",H23&lt;&gt;""),H23+D23,"")</f>
        <v/>
      </c>
      <c r="J23" s="77">
        <f>IF(I23="","",I23-$G$3)</f>
        <v/>
      </c>
      <c r="K23" s="86" t="inlineStr">
        <is>
          <t>SOCATA TB 10 MM Rev.18, 05-20-01 p.213</t>
        </is>
      </c>
      <c r="L23" s="72" t="n"/>
    </row>
    <row r="24" ht="15.75" customHeight="1" s="48">
      <c r="A24" s="86" t="inlineStr">
        <is>
          <t>Flap actuator/supports visual inspection</t>
        </is>
      </c>
      <c r="B24" s="86" t="n">
        <v>500</v>
      </c>
      <c r="C24" s="86" t="n"/>
      <c r="D24" s="86" t="n"/>
      <c r="E24" s="106" t="n">
        <v>2000</v>
      </c>
      <c r="F24" s="106">
        <f>IF(AND(B24&lt;&gt;"",E24&lt;&gt;""),E24+B24,IF(AND(C24&lt;&gt;"",E24&lt;&gt;""),E24+C24,""))</f>
        <v/>
      </c>
      <c r="G24" s="106">
        <f>IF(F24="","",F24-IF(B24&lt;&gt;"",$H$3,$I$3))</f>
        <v/>
      </c>
      <c r="H24" s="107" t="n"/>
      <c r="I24" s="107">
        <f>IF(AND(D24&lt;&gt;"",H24&lt;&gt;""),H24+D24,"")</f>
        <v/>
      </c>
      <c r="J24" s="77">
        <f>IF(I24="","",I24-$G$3)</f>
        <v/>
      </c>
      <c r="K24" s="86" t="inlineStr">
        <is>
          <t>SOCATA TB 10 MM Rev.18, 05-20-01 p.212</t>
        </is>
      </c>
      <c r="L24" s="72" t="n"/>
    </row>
    <row r="25" ht="15.75" customHeight="1" s="48">
      <c r="A25" s="86" t="inlineStr">
        <is>
          <t>Flight control supports inspection</t>
        </is>
      </c>
      <c r="B25" s="86" t="n">
        <v>500</v>
      </c>
      <c r="C25" s="86" t="n"/>
      <c r="D25" s="86" t="n"/>
      <c r="E25" s="106" t="n">
        <v>2000</v>
      </c>
      <c r="F25" s="106">
        <f>IF(AND(B25&lt;&gt;"",E25&lt;&gt;""),E25+B25,IF(AND(C25&lt;&gt;"",E25&lt;&gt;""),E25+C25,""))</f>
        <v/>
      </c>
      <c r="G25" s="106">
        <f>IF(F25="","",F25-IF(B25&lt;&gt;"",$H$3,$I$3))</f>
        <v/>
      </c>
      <c r="H25" s="107" t="n"/>
      <c r="I25" s="107">
        <f>IF(AND(D25&lt;&gt;"",H25&lt;&gt;""),H25+D25,"")</f>
        <v/>
      </c>
      <c r="J25" s="77">
        <f>IF(I25="","",I25-$G$3)</f>
        <v/>
      </c>
      <c r="K25" s="86" t="inlineStr">
        <is>
          <t>SOCATA TB 10 MM Rev.18, 05-20-01 p.225</t>
        </is>
      </c>
      <c r="L25" s="72" t="n"/>
    </row>
    <row r="26" ht="15.75" customHeight="1" s="48">
      <c r="A26" s="86" t="inlineStr">
        <is>
          <t>Elevator hinge bearings inspection</t>
        </is>
      </c>
      <c r="B26" s="86" t="n">
        <v>1000</v>
      </c>
      <c r="C26" s="86" t="n"/>
      <c r="D26" s="86" t="n">
        <v>730</v>
      </c>
      <c r="E26" s="106" t="n">
        <v>2000</v>
      </c>
      <c r="F26" s="106">
        <f>IF(AND(B26&lt;&gt;"",E26&lt;&gt;""),E26+B26,IF(AND(C26&lt;&gt;"",E26&lt;&gt;""),E26+C26,""))</f>
        <v/>
      </c>
      <c r="G26" s="106">
        <f>IF(F26="","",F26-IF(B26&lt;&gt;"",$H$3,$I$3))</f>
        <v/>
      </c>
      <c r="H26" s="107" t="n">
        <v>45839</v>
      </c>
      <c r="I26" s="107">
        <f>IF(AND(D26&lt;&gt;"",H26&lt;&gt;""),H26+D26,"")</f>
        <v/>
      </c>
      <c r="J26" s="77">
        <f>IF(I26="","",I26-$G$3)</f>
        <v/>
      </c>
      <c r="K26" s="86" t="inlineStr">
        <is>
          <t>SOCATA TB 10 MM Rev.18, 05-20-01 p.227</t>
        </is>
      </c>
      <c r="L26" s="72" t="n"/>
    </row>
    <row r="27" ht="15.75" customHeight="1" s="48">
      <c r="A27" s="67" t="inlineStr">
        <is>
          <t>Operational Tasks</t>
        </is>
      </c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  <c r="L27" s="110" t="n"/>
    </row>
    <row r="28" ht="15.75" customHeight="1" s="48">
      <c r="A28" s="79" t="n"/>
      <c r="B28" s="79" t="inlineStr">
        <is>
          <t>Interval</t>
        </is>
      </c>
      <c r="C28" s="109" t="n"/>
      <c r="D28" s="110" t="n"/>
      <c r="E28" s="111" t="inlineStr">
        <is>
          <t>Interval FH/ CyC/Ldgs</t>
        </is>
      </c>
      <c r="F28" s="109" t="n"/>
      <c r="G28" s="110" t="n"/>
      <c r="H28" s="112" t="inlineStr">
        <is>
          <t>Calendar</t>
        </is>
      </c>
      <c r="I28" s="109" t="n"/>
      <c r="J28" s="110" t="n"/>
      <c r="K28" s="79" t="inlineStr">
        <is>
          <t>Applicable ICA reference</t>
        </is>
      </c>
      <c r="L28" s="110" t="n"/>
    </row>
    <row r="29" ht="15.75" customHeight="1" s="48">
      <c r="A29" s="82" t="inlineStr">
        <is>
          <t>Inspection/Check/Task - description</t>
        </is>
      </c>
      <c r="B29" s="82" t="inlineStr">
        <is>
          <t>FH</t>
        </is>
      </c>
      <c r="C29" s="82" t="inlineStr">
        <is>
          <t>Ldg/Cycle</t>
        </is>
      </c>
      <c r="D29" s="82" t="inlineStr">
        <is>
          <t>days</t>
        </is>
      </c>
      <c r="E29" s="113" t="inlineStr">
        <is>
          <t>Performed</t>
        </is>
      </c>
      <c r="F29" s="113" t="inlineStr">
        <is>
          <t>Next due</t>
        </is>
      </c>
      <c r="G29" s="113" t="inlineStr">
        <is>
          <t>to go</t>
        </is>
      </c>
      <c r="H29" s="114" t="inlineStr">
        <is>
          <t>Performed</t>
        </is>
      </c>
      <c r="I29" s="114" t="inlineStr">
        <is>
          <t>Next due</t>
        </is>
      </c>
      <c r="J29" s="85" t="inlineStr">
        <is>
          <t>to go</t>
        </is>
      </c>
      <c r="K29" s="82" t="inlineStr">
        <is>
          <t>Document / Revision</t>
        </is>
      </c>
      <c r="L29" s="110" t="n"/>
    </row>
    <row r="30" ht="15.75" customHeight="1" s="48">
      <c r="A30" s="86" t="inlineStr">
        <is>
          <t>Transponder / altimeter calibration/check</t>
        </is>
      </c>
      <c r="B30" s="86" t="n"/>
      <c r="C30" s="86" t="n"/>
      <c r="D30" s="86" t="n">
        <v>730</v>
      </c>
      <c r="E30" s="106" t="n"/>
      <c r="F30" s="106">
        <f>IF(AND(B30&lt;&gt;"",E30&lt;&gt;""),E30+B30,IF(AND(C30&lt;&gt;"",E30&lt;&gt;""),E30+C30,""))</f>
        <v/>
      </c>
      <c r="G30" s="106">
        <f>IF(F30="","",F30-IF(B30&lt;&gt;"",$H$3,$I$3))</f>
        <v/>
      </c>
      <c r="H30" s="107" t="n">
        <v>45809</v>
      </c>
      <c r="I30" s="107">
        <f>IF(AND(D30&lt;&gt;"",H30&lt;&gt;""),H30+D30,"")</f>
        <v/>
      </c>
      <c r="J30" s="77">
        <f>IF(I30="","",I30-$G$3)</f>
        <v/>
      </c>
      <c r="K30" s="86" t="inlineStr">
        <is>
          <t>SOCATA TB 10 MM Rev.18, 05-10-00 p.3 / 05-20-01 p.221,223</t>
        </is>
      </c>
      <c r="L30" s="72" t="n"/>
    </row>
    <row r="31" ht="15.75" customHeight="1" s="48">
      <c r="A31" s="86" t="inlineStr">
        <is>
          <t>Weighing and balancing</t>
        </is>
      </c>
      <c r="B31" s="86" t="n"/>
      <c r="C31" s="86" t="n"/>
      <c r="D31" s="86" t="n">
        <v>1825</v>
      </c>
      <c r="E31" s="106" t="n"/>
      <c r="F31" s="106">
        <f>IF(AND(B31&lt;&gt;"",E31&lt;&gt;""),E31+B31,IF(AND(C31&lt;&gt;"",E31&lt;&gt;""),E31+C31,""))</f>
        <v/>
      </c>
      <c r="G31" s="106">
        <f>IF(F31="","",F31-IF(B31&lt;&gt;"",$H$3,$I$3))</f>
        <v/>
      </c>
      <c r="H31" s="107" t="n">
        <v>45306</v>
      </c>
      <c r="I31" s="107">
        <f>IF(AND(D31&lt;&gt;"",H31&lt;&gt;""),H31+D31,"")</f>
        <v/>
      </c>
      <c r="J31" s="77">
        <f>IF(I31="","",I31-$G$3)</f>
        <v/>
      </c>
      <c r="K31" s="86" t="inlineStr">
        <is>
          <t>SOCATA TB 10 MM Rev.18, 05-20-00 p.2 / 05-20-01 p.202</t>
        </is>
      </c>
      <c r="L31" s="86" t="n"/>
    </row>
    <row r="32" ht="15.75" customHeight="1" s="48">
      <c r="A32" s="86" t="inlineStr">
        <is>
          <t>Compass compensation</t>
        </is>
      </c>
      <c r="B32" s="86" t="n"/>
      <c r="C32" s="86" t="n"/>
      <c r="D32" s="86" t="n">
        <v>1095</v>
      </c>
      <c r="E32" s="106" t="n"/>
      <c r="F32" s="106">
        <f>IF(AND(B32&lt;&gt;"",E32&lt;&gt;""),E32+B32,IF(AND(C32&lt;&gt;"",E32&lt;&gt;""),E32+C32,""))</f>
        <v/>
      </c>
      <c r="G32" s="106">
        <f>IF(F32="","",F32-IF(B32&lt;&gt;"",$H$3,$I$3))</f>
        <v/>
      </c>
      <c r="H32" s="107" t="n">
        <v>45901</v>
      </c>
      <c r="I32" s="107">
        <f>IF(AND(D32&lt;&gt;"",H32&lt;&gt;""),H32+D32,"")</f>
        <v/>
      </c>
      <c r="J32" s="77">
        <f>IF(I32="","",I32-$G$3)</f>
        <v/>
      </c>
      <c r="K32" s="86" t="inlineStr">
        <is>
          <t>SOCATA TB 10 MM Rev.18, 05-20-00 p.2 / 05-20-01 p.222</t>
        </is>
      </c>
      <c r="L32" s="72" t="n"/>
    </row>
    <row r="33" ht="15.75" customHeight="1" s="48">
      <c r="A33" s="72" t="inlineStr">
        <is>
          <t>Air data systems tightness test</t>
        </is>
      </c>
      <c r="B33" s="72" t="n">
        <v>300</v>
      </c>
      <c r="C33" s="72" t="n"/>
      <c r="D33" s="72" t="n">
        <v>1095</v>
      </c>
      <c r="E33" s="105" t="n">
        <v>2100</v>
      </c>
      <c r="F33" s="105">
        <f>IF(AND(B33&lt;&gt;"",E33&lt;&gt;""),E33+B33,IF(AND(C33&lt;&gt;"",E33&lt;&gt;""),E33+C33,""))</f>
        <v/>
      </c>
      <c r="G33" s="105">
        <f>IF(F33="","",F33-IF(B33&lt;&gt;"",$H$3,$I$3))</f>
        <v/>
      </c>
      <c r="H33" s="108" t="n">
        <v>45809</v>
      </c>
      <c r="I33" s="108">
        <f>IF(AND(D33&lt;&gt;"",H33&lt;&gt;""),H33+D33,"")</f>
        <v/>
      </c>
      <c r="J33" s="76">
        <f>IF(I33="","",I33-$G$3)</f>
        <v/>
      </c>
      <c r="K33" s="72" t="inlineStr">
        <is>
          <t>SOCATA TB 10 MM Rev.18, 05-20-01 p.222</t>
        </is>
      </c>
      <c r="L33" s="72" t="n"/>
    </row>
    <row r="34" ht="15.75" customHeight="1" s="48">
      <c r="A34" s="72" t="inlineStr">
        <is>
          <t>ELT visual inspection and operational test</t>
        </is>
      </c>
      <c r="B34" s="72" t="n">
        <v>100</v>
      </c>
      <c r="C34" s="72" t="n"/>
      <c r="D34" s="72" t="n">
        <v>180</v>
      </c>
      <c r="E34" s="105" t="n">
        <v>2100</v>
      </c>
      <c r="F34" s="105">
        <f>IF(AND(B34&lt;&gt;"",E34&lt;&gt;""),E34+B34,IF(AND(C34&lt;&gt;"",E34&lt;&gt;""),E34+C34,""))</f>
        <v/>
      </c>
      <c r="G34" s="105">
        <f>IF(F34="","",F34-IF(B34&lt;&gt;"",$H$3,$I$3))</f>
        <v/>
      </c>
      <c r="H34" s="108" t="n">
        <v>46068</v>
      </c>
      <c r="I34" s="108">
        <f>IF(AND(D34&lt;&gt;"",H34&lt;&gt;""),H34+D34,"")</f>
        <v/>
      </c>
      <c r="J34" s="76">
        <f>IF(I34="","",I34-$G$3)</f>
        <v/>
      </c>
      <c r="K34" s="72" t="inlineStr">
        <is>
          <t>SOCATA TB 10 MM Rev.18 05-20-01; operational ELT check tracked independently</t>
        </is>
      </c>
      <c r="L34" s="72" t="n"/>
    </row>
    <row r="35" ht="15.75" customHeight="1" s="48">
      <c r="A35" s="72" t="n"/>
      <c r="B35" s="72" t="n"/>
      <c r="C35" s="109" t="n"/>
      <c r="D35" s="110" t="n"/>
      <c r="E35" s="105" t="n"/>
      <c r="F35" s="109" t="n"/>
      <c r="G35" s="110" t="n"/>
      <c r="H35" s="108" t="n"/>
      <c r="I35" s="109" t="n"/>
      <c r="J35" s="110" t="n"/>
      <c r="K35" s="72" t="n"/>
      <c r="L35" s="110" t="n"/>
    </row>
    <row r="36" ht="15.75" customHeight="1" s="48">
      <c r="A36" s="67" t="inlineStr">
        <is>
          <t>Lubrication &amp; Cleaning Tasks</t>
        </is>
      </c>
      <c r="B36" s="67" t="n"/>
      <c r="C36" s="67" t="n"/>
      <c r="D36" s="67" t="n"/>
      <c r="E36" s="103" t="n"/>
      <c r="F36" s="103" t="n"/>
      <c r="G36" s="103" t="n"/>
      <c r="H36" s="104" t="n"/>
      <c r="I36" s="104" t="n"/>
      <c r="J36" s="70" t="n"/>
      <c r="K36" s="67" t="n"/>
      <c r="L36" s="110" t="n"/>
    </row>
    <row r="37" ht="31.5" customHeight="1" s="48">
      <c r="A37" s="79" t="n"/>
      <c r="B37" s="79" t="inlineStr">
        <is>
          <t>Interval</t>
        </is>
      </c>
      <c r="C37" s="72" t="n"/>
      <c r="D37" s="72" t="n"/>
      <c r="E37" s="111" t="inlineStr">
        <is>
          <t>Interval FH/ CyC/Ldgs</t>
        </is>
      </c>
      <c r="F37" s="105" t="n"/>
      <c r="G37" s="105" t="n"/>
      <c r="H37" s="112" t="inlineStr">
        <is>
          <t>Calendar</t>
        </is>
      </c>
      <c r="I37" s="108" t="n"/>
      <c r="J37" s="76" t="n"/>
      <c r="K37" s="79" t="inlineStr">
        <is>
          <t>Applicable ICA reference</t>
        </is>
      </c>
      <c r="L37" s="110" t="n"/>
    </row>
    <row r="38" ht="31.5" customHeight="1" s="48">
      <c r="A38" s="82" t="inlineStr">
        <is>
          <t>Inspection/Check/Task - description</t>
        </is>
      </c>
      <c r="B38" s="82" t="inlineStr">
        <is>
          <t>FH</t>
        </is>
      </c>
      <c r="C38" s="82" t="inlineStr">
        <is>
          <t>Ldg/Cycle</t>
        </is>
      </c>
      <c r="D38" s="82" t="inlineStr">
        <is>
          <t>days</t>
        </is>
      </c>
      <c r="E38" s="113" t="inlineStr">
        <is>
          <t>Performed</t>
        </is>
      </c>
      <c r="F38" s="113" t="inlineStr">
        <is>
          <t>Next due</t>
        </is>
      </c>
      <c r="G38" s="113" t="inlineStr">
        <is>
          <t>to go</t>
        </is>
      </c>
      <c r="H38" s="114" t="inlineStr">
        <is>
          <t>Performed</t>
        </is>
      </c>
      <c r="I38" s="114" t="inlineStr">
        <is>
          <t>Next due</t>
        </is>
      </c>
      <c r="J38" s="85" t="inlineStr">
        <is>
          <t>to go</t>
        </is>
      </c>
      <c r="K38" s="82" t="inlineStr">
        <is>
          <t>Document / Revision</t>
        </is>
      </c>
      <c r="L38" s="82" t="n"/>
    </row>
    <row r="39" ht="15.75" customHeight="1" s="48">
      <c r="A39" s="86" t="inlineStr">
        <is>
          <t>Drain oil system / filter / crankcase strainer</t>
        </is>
      </c>
      <c r="B39" s="87" t="n">
        <v>50</v>
      </c>
      <c r="C39" s="86" t="n"/>
      <c r="D39" s="86" t="n">
        <v>120</v>
      </c>
      <c r="E39" s="106" t="n">
        <v>2100</v>
      </c>
      <c r="F39" s="106">
        <f>IF(AND(B39&lt;&gt;"",E39&lt;&gt;""),E39+B39,IF(AND(C39&lt;&gt;"",E39&lt;&gt;""),E39+C39,""))</f>
        <v/>
      </c>
      <c r="G39" s="106">
        <f>IF(F39="","",F39-IF(B39&lt;&gt;"",$H$3,$I$3))</f>
        <v/>
      </c>
      <c r="H39" s="107" t="n">
        <v>46101</v>
      </c>
      <c r="I39" s="107">
        <f>IF(AND(D39&lt;&gt;"",H39&lt;&gt;""),H39+D39,"")</f>
        <v/>
      </c>
      <c r="J39" s="77">
        <f>IF(I39="","",I39-$G$3)</f>
        <v/>
      </c>
      <c r="K39" s="86" t="inlineStr">
        <is>
          <t>SOCATA TB 10 MM Rev.18, 05-20-01 p.203 ATA 12-10</t>
        </is>
      </c>
      <c r="L39" s="72" t="n"/>
    </row>
    <row r="40" ht="15.75" customHeight="1" s="48">
      <c r="A40" s="86" t="inlineStr">
        <is>
          <t>Drain fuel tanks and fuel system / ventilate</t>
        </is>
      </c>
      <c r="B40" s="87" t="n">
        <v>2000</v>
      </c>
      <c r="C40" s="86" t="n"/>
      <c r="D40" s="86" t="n">
        <v>365</v>
      </c>
      <c r="E40" s="106" t="n">
        <v>2000</v>
      </c>
      <c r="F40" s="106">
        <f>IF(AND(B40&lt;&gt;"",E40&lt;&gt;""),E40+B40,IF(AND(C40&lt;&gt;"",E40&lt;&gt;""),E40+C40,""))</f>
        <v/>
      </c>
      <c r="G40" s="106">
        <f>IF(F40="","",F40-IF(B40&lt;&gt;"",$H$3,$I$3))</f>
        <v/>
      </c>
      <c r="H40" s="107" t="n">
        <v>46082</v>
      </c>
      <c r="I40" s="107">
        <f>IF(AND(D40&lt;&gt;"",H40&lt;&gt;""),H40+D40,"")</f>
        <v/>
      </c>
      <c r="J40" s="77">
        <f>IF(I40="","",I40-$G$3)</f>
        <v/>
      </c>
      <c r="K40" s="86" t="inlineStr">
        <is>
          <t>SOCATA TB 10 MM Rev.18, 05-20-01 p.203 ATA 12-10</t>
        </is>
      </c>
      <c r="L40" s="86" t="n"/>
    </row>
    <row r="41" ht="15.75" customHeight="1" s="48">
      <c r="A41" s="86" t="inlineStr">
        <is>
          <t>Clean exterior surface / inspect corrosion</t>
        </is>
      </c>
      <c r="B41" s="87" t="n">
        <v>100</v>
      </c>
      <c r="C41" s="86" t="n"/>
      <c r="D41" s="86" t="n">
        <v>365</v>
      </c>
      <c r="E41" s="106" t="n">
        <v>2100</v>
      </c>
      <c r="F41" s="106">
        <f>IF(AND(B41&lt;&gt;"",E41&lt;&gt;""),E41+B41,IF(AND(C41&lt;&gt;"",E41&lt;&gt;""),E41+C41,""))</f>
        <v/>
      </c>
      <c r="G41" s="106">
        <f>IF(F41="","",F41-IF(B41&lt;&gt;"",$H$3,$I$3))</f>
        <v/>
      </c>
      <c r="H41" s="107" t="n">
        <v>46101</v>
      </c>
      <c r="I41" s="107">
        <f>IF(AND(D41&lt;&gt;"",H41&lt;&gt;""),H41+D41,"")</f>
        <v/>
      </c>
      <c r="J41" s="77">
        <f>IF(I41="","",I41-$G$3)</f>
        <v/>
      </c>
      <c r="K41" s="86" t="inlineStr">
        <is>
          <t>SOCATA TB 10 MM Rev.18, 05-20-01 p.203 ATA 12-20</t>
        </is>
      </c>
      <c r="L41" s="72" t="n"/>
    </row>
    <row r="42" ht="15.75" customHeight="1" s="48">
      <c r="A42" s="72" t="inlineStr">
        <is>
          <t>Clean engine</t>
        </is>
      </c>
      <c r="B42" s="72" t="n">
        <v>100</v>
      </c>
      <c r="C42" s="72" t="n"/>
      <c r="D42" s="72" t="n">
        <v>365</v>
      </c>
      <c r="E42" s="105" t="n">
        <v>2100</v>
      </c>
      <c r="F42" s="105">
        <f>IF(AND(B42&lt;&gt;"",E42&lt;&gt;""),E42+B42,IF(AND(C42&lt;&gt;"",E42&lt;&gt;""),E42+C42,""))</f>
        <v/>
      </c>
      <c r="G42" s="105">
        <f>IF(F42="","",F42-IF(B42&lt;&gt;"",$H$3,$I$3))</f>
        <v/>
      </c>
      <c r="H42" s="108" t="n">
        <v>46101</v>
      </c>
      <c r="I42" s="108">
        <f>IF(AND(D42&lt;&gt;"",H42&lt;&gt;""),H42+D42,"")</f>
        <v/>
      </c>
      <c r="J42" s="76">
        <f>IF(I42="","",I42-$G$3)</f>
        <v/>
      </c>
      <c r="K42" s="72" t="inlineStr">
        <is>
          <t>SOCATA TB 10 MM Rev.18, 05-20-01 p.203 ATA 12-20</t>
        </is>
      </c>
      <c r="L42" s="72" t="n"/>
    </row>
    <row r="43" ht="15.75" customHeight="1" s="48">
      <c r="A43" s="72" t="inlineStr">
        <is>
          <t>Anticorrosion/lubrication cockpit-fuselage &amp; landing gear</t>
        </is>
      </c>
      <c r="B43" s="72" t="n">
        <v>50</v>
      </c>
      <c r="C43" s="72" t="n"/>
      <c r="D43" s="72" t="n">
        <v>365</v>
      </c>
      <c r="E43" s="105" t="n">
        <v>2100</v>
      </c>
      <c r="F43" s="105">
        <f>IF(AND(B43&lt;&gt;"",E43&lt;&gt;""),E43+B43,IF(AND(C43&lt;&gt;"",E43&lt;&gt;""),E43+C43,""))</f>
        <v/>
      </c>
      <c r="G43" s="105">
        <f>IF(F43="","",F43-IF(B43&lt;&gt;"",$H$3,$I$3))</f>
        <v/>
      </c>
      <c r="H43" s="108" t="n">
        <v>46101</v>
      </c>
      <c r="I43" s="108">
        <f>IF(AND(D43&lt;&gt;"",H43&lt;&gt;""),H43+D43,"")</f>
        <v/>
      </c>
      <c r="J43" s="76">
        <f>IF(I43="","",I43-$G$3)</f>
        <v/>
      </c>
      <c r="K43" s="72" t="inlineStr">
        <is>
          <t>SOCATA TB 10 MM Rev.18, 05-20-01 p.203-204 ATA 20-00</t>
        </is>
      </c>
      <c r="L43" s="72" t="n"/>
    </row>
    <row r="44" ht="15.75" customHeight="1" s="48">
      <c r="A44" s="72" t="inlineStr">
        <is>
          <t>Anticorrosion/lubrication stabilizers/wings/engine compartment</t>
        </is>
      </c>
      <c r="B44" s="72" t="n">
        <v>100</v>
      </c>
      <c r="C44" s="72" t="n"/>
      <c r="D44" s="72" t="n">
        <v>365</v>
      </c>
      <c r="E44" s="105" t="n">
        <v>2100</v>
      </c>
      <c r="F44" s="105">
        <f>IF(AND(B44&lt;&gt;"",E44&lt;&gt;""),E44+B44,IF(AND(C44&lt;&gt;"",E44&lt;&gt;""),E44+C44,""))</f>
        <v/>
      </c>
      <c r="G44" s="105">
        <f>IF(F44="","",F44-IF(B44&lt;&gt;"",$H$3,$I$3))</f>
        <v/>
      </c>
      <c r="H44" s="108" t="n">
        <v>46101</v>
      </c>
      <c r="I44" s="108">
        <f>IF(AND(D44&lt;&gt;"",H44&lt;&gt;""),H44+D44,"")</f>
        <v/>
      </c>
      <c r="J44" s="76">
        <f>IF(I44="","",I44-$G$3)</f>
        <v/>
      </c>
      <c r="K44" s="72" t="inlineStr">
        <is>
          <t>SOCATA TB 10 MM Rev.18, 05-20-01 p.204 ATA 20-00</t>
        </is>
      </c>
      <c r="L44" s="72" t="n"/>
    </row>
    <row r="45" ht="15.75" customHeight="1" s="48">
      <c r="A45" s="72" t="inlineStr">
        <is>
          <t>Lubricate bearings and wheel axles</t>
        </is>
      </c>
      <c r="B45" s="72" t="n">
        <v>2000</v>
      </c>
      <c r="C45" s="72" t="n"/>
      <c r="D45" s="72" t="n">
        <v>365</v>
      </c>
      <c r="E45" s="105" t="n">
        <v>2000</v>
      </c>
      <c r="F45" s="105">
        <f>IF(AND(B45&lt;&gt;"",E45&lt;&gt;""),E45+B45,IF(AND(C45&lt;&gt;"",E45&lt;&gt;""),E45+C45,""))</f>
        <v/>
      </c>
      <c r="G45" s="105">
        <f>IF(F45="","",F45-IF(B45&lt;&gt;"",$H$3,$I$3))</f>
        <v/>
      </c>
      <c r="H45" s="108" t="n">
        <v>46082</v>
      </c>
      <c r="I45" s="108">
        <f>IF(AND(D45&lt;&gt;"",H45&lt;&gt;""),H45+D45,"")</f>
        <v/>
      </c>
      <c r="J45" s="76">
        <f>IF(I45="","",I45-$G$3)</f>
        <v/>
      </c>
      <c r="K45" s="72" t="inlineStr">
        <is>
          <t>SOCATA TB 10 MM Rev.18, 05-20-01 p.219 ATA 32-40</t>
        </is>
      </c>
      <c r="L45" s="72" t="n"/>
    </row>
    <row r="46" ht="15.75" customHeight="1" s="48">
      <c r="A46" s="72" t="inlineStr">
        <is>
          <t>Lubricate door locking mechanisms</t>
        </is>
      </c>
      <c r="B46" s="72" t="n">
        <v>2000</v>
      </c>
      <c r="C46" s="72" t="n"/>
      <c r="D46" s="72" t="n"/>
      <c r="E46" s="105" t="n">
        <v>2000</v>
      </c>
      <c r="F46" s="105">
        <f>IF(AND(B46&lt;&gt;"",E46&lt;&gt;""),E46+B46,IF(AND(C46&lt;&gt;"",E46&lt;&gt;""),E46+C46,""))</f>
        <v/>
      </c>
      <c r="G46" s="105">
        <f>IF(F46="","",F46-IF(B46&lt;&gt;"",$H$3,$I$3))</f>
        <v/>
      </c>
      <c r="H46" s="108" t="n"/>
      <c r="I46" s="108">
        <f>IF(AND(D46&lt;&gt;"",H46&lt;&gt;""),H46+D46,"")</f>
        <v/>
      </c>
      <c r="J46" s="76">
        <f>IF(I46="","",I46-$G$3)</f>
        <v/>
      </c>
      <c r="K46" s="72" t="inlineStr">
        <is>
          <t>SOCATA TB 10 MM Rev.18, 05-20-01 p.224 ATA 52-10</t>
        </is>
      </c>
      <c r="L46" s="72" t="n"/>
    </row>
    <row r="47" ht="15.75" customHeight="1" s="48">
      <c r="A47" s="72" t="inlineStr">
        <is>
          <t>Lubricate inside elevator balancing boom</t>
        </is>
      </c>
      <c r="B47" s="72" t="n">
        <v>2000</v>
      </c>
      <c r="C47" s="72" t="n"/>
      <c r="D47" s="72" t="n"/>
      <c r="E47" s="105" t="n">
        <v>2000</v>
      </c>
      <c r="F47" s="105">
        <f>IF(AND(B47&lt;&gt;"",E47&lt;&gt;""),E47+B47,IF(AND(C47&lt;&gt;"",E47&lt;&gt;""),E47+C47,""))</f>
        <v/>
      </c>
      <c r="G47" s="105">
        <f>IF(F47="","",F47-IF(B47&lt;&gt;"",$H$3,$I$3))</f>
        <v/>
      </c>
      <c r="H47" s="108" t="n"/>
      <c r="I47" s="108">
        <f>IF(AND(D47&lt;&gt;"",H47&lt;&gt;""),H47+D47,"")</f>
        <v/>
      </c>
      <c r="J47" s="76">
        <f>IF(I47="","",I47-$G$3)</f>
        <v/>
      </c>
      <c r="K47" s="72" t="inlineStr">
        <is>
          <t>SOCATA TB 10 MM Rev.18, 05-20-01 p.227 ATA 55-20</t>
        </is>
      </c>
      <c r="L47" s="72" t="n"/>
    </row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27">
    <mergeCell ref="A16:L16"/>
    <mergeCell ref="E28:G28"/>
    <mergeCell ref="K15:L15"/>
    <mergeCell ref="B17:D17"/>
    <mergeCell ref="A27:L27"/>
    <mergeCell ref="H17:J17"/>
    <mergeCell ref="K36:L36"/>
    <mergeCell ref="E6:G6"/>
    <mergeCell ref="B28:D28"/>
    <mergeCell ref="K35:L35"/>
    <mergeCell ref="K29:L29"/>
    <mergeCell ref="H28:J28"/>
    <mergeCell ref="A5:L5"/>
    <mergeCell ref="B6:D6"/>
    <mergeCell ref="B35:D35"/>
    <mergeCell ref="H35:J35"/>
    <mergeCell ref="K14:L14"/>
    <mergeCell ref="K17:L17"/>
    <mergeCell ref="K7:L7"/>
    <mergeCell ref="K28:L28"/>
    <mergeCell ref="E17:G17"/>
    <mergeCell ref="K37:L37"/>
    <mergeCell ref="E35:G35"/>
    <mergeCell ref="K6:L6"/>
    <mergeCell ref="K13:L13"/>
    <mergeCell ref="K18:L18"/>
    <mergeCell ref="H6:J6"/>
  </mergeCells>
  <conditionalFormatting sqref="G8:G12">
    <cfRule type="expression" priority="1" dxfId="0">
      <formula>AND(ISNUMBER(G8),G8&lt;=0)</formula>
    </cfRule>
    <cfRule type="expression" priority="2" dxfId="1">
      <formula>AND(ISNUMBER(G8),G8&gt;0,G8&lt;=30)</formula>
    </cfRule>
  </conditionalFormatting>
  <conditionalFormatting sqref="J8:J12">
    <cfRule type="expression" priority="3" dxfId="0">
      <formula>AND(ISNUMBER(J8),J8&lt;=0)</formula>
    </cfRule>
    <cfRule type="expression" priority="4" dxfId="1">
      <formula>AND(ISNUMBER(J8),J8&gt;0,J8&lt;=30)</formula>
    </cfRule>
  </conditionalFormatting>
  <conditionalFormatting sqref="G19:G26">
    <cfRule type="expression" priority="5" dxfId="0">
      <formula>AND(ISNUMBER(G19),G19&lt;=0)</formula>
    </cfRule>
    <cfRule type="expression" priority="6" dxfId="1">
      <formula>AND(ISNUMBER(G19),G19&gt;0,G19&lt;=30)</formula>
    </cfRule>
  </conditionalFormatting>
  <conditionalFormatting sqref="J19:J26">
    <cfRule type="expression" priority="7" dxfId="0">
      <formula>AND(ISNUMBER(J19),J19&lt;=0)</formula>
    </cfRule>
    <cfRule type="expression" priority="8" dxfId="1">
      <formula>AND(ISNUMBER(J19),J19&gt;0,J19&lt;=30)</formula>
    </cfRule>
  </conditionalFormatting>
  <conditionalFormatting sqref="G30:G34">
    <cfRule type="expression" priority="9" dxfId="0">
      <formula>AND(ISNUMBER(G30),G30&lt;=0)</formula>
    </cfRule>
    <cfRule type="expression" priority="10" dxfId="1">
      <formula>AND(ISNUMBER(G30),G30&gt;0,G30&lt;=30)</formula>
    </cfRule>
  </conditionalFormatting>
  <conditionalFormatting sqref="J30:J34">
    <cfRule type="expression" priority="11" dxfId="0">
      <formula>AND(ISNUMBER(J30),J30&lt;=0)</formula>
    </cfRule>
    <cfRule type="expression" priority="12" dxfId="1">
      <formula>AND(ISNUMBER(J30),J30&gt;0,J30&lt;=30)</formula>
    </cfRule>
  </conditionalFormatting>
  <conditionalFormatting sqref="G39:G47">
    <cfRule type="expression" priority="13" dxfId="0">
      <formula>AND(ISNUMBER(G39),G39&lt;=0)</formula>
    </cfRule>
    <cfRule type="expression" priority="14" dxfId="1">
      <formula>AND(ISNUMBER(G39),G39&gt;0,G39&lt;=30)</formula>
    </cfRule>
  </conditionalFormatting>
  <conditionalFormatting sqref="J39:J47">
    <cfRule type="expression" priority="15" dxfId="0">
      <formula>AND(ISNUMBER(J39),J39&lt;=0)</formula>
    </cfRule>
    <cfRule type="expression" priority="16" dxfId="1">
      <formula>AND(ISNUMBER(J39),J39&gt;0,J39&lt;=30)</formula>
    </cfRule>
  </conditionalFormatting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30" customWidth="1" style="48" min="1" max="2"/>
    <col width="34" customWidth="1" style="48" min="2" max="2"/>
    <col width="13" customWidth="1" style="48" min="3" max="3"/>
    <col width="13" customWidth="1" style="48" min="4" max="5"/>
    <col width="13" customWidth="1" style="48" min="5" max="5"/>
    <col width="13" customWidth="1" style="48" min="6" max="26"/>
    <col width="13" customWidth="1" style="48" min="7" max="7"/>
    <col width="13" customWidth="1" style="48" min="8" max="8"/>
    <col width="13" customWidth="1" style="48" min="9" max="9"/>
    <col width="13" customWidth="1" style="48" min="10" max="10"/>
    <col width="13" customWidth="1" style="48" min="11" max="11"/>
    <col width="18" customWidth="1" style="48" min="12" max="12"/>
    <col width="50" customWidth="1" style="48" min="13" max="13"/>
    <col width="13" customWidth="1" style="48" min="14" max="14"/>
  </cols>
  <sheetData>
    <row r="1">
      <c r="A1" s="67" t="inlineStr">
        <is>
          <t>Registration</t>
        </is>
      </c>
      <c r="B1" s="67" t="n"/>
      <c r="C1" s="67" t="inlineStr">
        <is>
          <t>EC-SIM</t>
        </is>
      </c>
      <c r="D1" s="67" t="n"/>
      <c r="E1" s="67" t="n"/>
      <c r="F1" s="103" t="n"/>
      <c r="G1" s="103" t="inlineStr">
        <is>
          <t>Date:</t>
        </is>
      </c>
      <c r="H1" s="103">
        <f>TODAY()</f>
        <v/>
      </c>
      <c r="I1" s="104" t="n"/>
      <c r="J1" s="104" t="n"/>
      <c r="K1" s="70" t="n"/>
      <c r="L1" s="67" t="n"/>
      <c r="M1" s="67" t="n"/>
      <c r="N1" s="67" t="n"/>
    </row>
    <row r="2">
      <c r="A2" s="71" t="inlineStr">
        <is>
          <t>Aircraft Model</t>
        </is>
      </c>
      <c r="B2" s="72" t="n"/>
      <c r="C2" s="71" t="inlineStr">
        <is>
          <t>Socata TB 10</t>
        </is>
      </c>
      <c r="D2" s="72" t="n"/>
      <c r="E2" s="72" t="n"/>
      <c r="F2" s="105" t="n"/>
      <c r="G2" s="105" t="n"/>
      <c r="H2" s="106" t="inlineStr">
        <is>
          <t>Date</t>
        </is>
      </c>
      <c r="I2" s="107" t="inlineStr">
        <is>
          <t>Hrs</t>
        </is>
      </c>
      <c r="J2" s="107" t="inlineStr">
        <is>
          <t>Ldgs</t>
        </is>
      </c>
      <c r="K2" s="76" t="n"/>
      <c r="L2" s="72" t="n"/>
      <c r="M2" s="72" t="n"/>
      <c r="N2" s="72" t="n"/>
    </row>
    <row r="3">
      <c r="A3" s="71" t="inlineStr">
        <is>
          <t>Serial Number</t>
        </is>
      </c>
      <c r="B3" s="72" t="n"/>
      <c r="C3" s="71" t="n">
        <v>649</v>
      </c>
      <c r="D3" s="72" t="n"/>
      <c r="E3" s="72" t="n"/>
      <c r="F3" s="105" t="n"/>
      <c r="G3" s="106" t="inlineStr">
        <is>
          <t>Last readout of the Flight Log:</t>
        </is>
      </c>
      <c r="H3" s="107">
        <f>LOOKUP(2,1/('Flight Log'!$A:$A&lt;&gt;""),'Flight Log'!$A:$A)</f>
        <v/>
      </c>
      <c r="I3" s="106">
        <f>LOOKUP(2,1/('Flight Log'!$E:$E&lt;&gt;""),'Flight Log'!$E:$E)</f>
        <v/>
      </c>
      <c r="J3" s="77">
        <f>LOOKUP(2,1/('Flight Log'!$G:$G&lt;&gt;""),'Flight Log'!$G:$G)</f>
        <v/>
      </c>
      <c r="K3" s="76" t="n"/>
      <c r="L3" s="72" t="n"/>
      <c r="M3" s="72" t="n"/>
      <c r="N3" s="72" t="n"/>
    </row>
    <row r="4">
      <c r="A4" s="71" t="inlineStr">
        <is>
          <t>Manufacture Date (Y)</t>
        </is>
      </c>
      <c r="B4" s="72" t="n"/>
      <c r="C4" s="71" t="n">
        <v>1988</v>
      </c>
      <c r="D4" s="72" t="n"/>
      <c r="E4" s="72" t="n"/>
      <c r="F4" s="105" t="n"/>
      <c r="G4" s="105" t="n"/>
      <c r="H4" s="105" t="n"/>
      <c r="I4" s="108" t="n"/>
      <c r="J4" s="108" t="n"/>
      <c r="K4" s="76" t="n"/>
      <c r="L4" s="72" t="n"/>
      <c r="M4" s="72" t="n"/>
      <c r="N4" s="72" t="n"/>
    </row>
    <row r="5">
      <c r="A5" s="67" t="inlineStr">
        <is>
          <t>Life Limited Items</t>
        </is>
      </c>
      <c r="B5" s="109" t="n"/>
      <c r="C5" s="109" t="n"/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10" t="n"/>
    </row>
    <row r="6">
      <c r="A6" s="79" t="n"/>
      <c r="B6" s="79" t="n"/>
      <c r="C6" s="79" t="inlineStr">
        <is>
          <t>Interval /TBO</t>
        </is>
      </c>
      <c r="D6" s="109" t="n"/>
      <c r="E6" s="110" t="n"/>
      <c r="F6" s="111" t="inlineStr">
        <is>
          <t>Interval FH/ CyC/Ldgs</t>
        </is>
      </c>
      <c r="G6" s="109" t="n"/>
      <c r="H6" s="110" t="n"/>
      <c r="I6" s="112" t="inlineStr">
        <is>
          <t>Calendar</t>
        </is>
      </c>
      <c r="J6" s="109" t="n"/>
      <c r="K6" s="110" t="n"/>
      <c r="L6" s="79" t="n"/>
      <c r="M6" s="79" t="inlineStr">
        <is>
          <t>Applicable ICA reference</t>
        </is>
      </c>
      <c r="N6" s="110" t="n"/>
    </row>
    <row r="7">
      <c r="A7" s="82" t="inlineStr">
        <is>
          <t>Item</t>
        </is>
      </c>
      <c r="B7" s="82" t="inlineStr">
        <is>
          <t>Model</t>
        </is>
      </c>
      <c r="C7" s="82" t="inlineStr">
        <is>
          <t>FH</t>
        </is>
      </c>
      <c r="D7" s="82" t="inlineStr">
        <is>
          <t>Ldg/Cycle</t>
        </is>
      </c>
      <c r="E7" s="82" t="inlineStr">
        <is>
          <t>days</t>
        </is>
      </c>
      <c r="F7" s="113" t="inlineStr">
        <is>
          <t>Performed</t>
        </is>
      </c>
      <c r="G7" s="113" t="inlineStr">
        <is>
          <t>Next due</t>
        </is>
      </c>
      <c r="H7" s="113" t="inlineStr">
        <is>
          <t>to go</t>
        </is>
      </c>
      <c r="I7" s="114" t="inlineStr">
        <is>
          <t>Performed</t>
        </is>
      </c>
      <c r="J7" s="114" t="inlineStr">
        <is>
          <t>Next due</t>
        </is>
      </c>
      <c r="K7" s="85" t="inlineStr">
        <is>
          <t>to go</t>
        </is>
      </c>
      <c r="L7" s="82" t="inlineStr">
        <is>
          <t>Type of Task (OH, Discard, On Condition)</t>
        </is>
      </c>
      <c r="M7" s="82" t="inlineStr">
        <is>
          <t>Document / Revision</t>
        </is>
      </c>
      <c r="N7" s="110" t="n"/>
    </row>
    <row r="8">
      <c r="A8" s="86" t="inlineStr">
        <is>
          <t>Motor</t>
        </is>
      </c>
      <c r="B8" s="86" t="inlineStr">
        <is>
          <t>Lycoming O-360-A1AD</t>
        </is>
      </c>
      <c r="C8" s="86" t="n">
        <v>2000</v>
      </c>
      <c r="D8" s="86" t="n"/>
      <c r="E8" s="86" t="n">
        <v>4380</v>
      </c>
      <c r="F8" s="106" t="n">
        <v>1000</v>
      </c>
      <c r="G8" s="106">
        <f>IF(AND(C8&lt;&gt;"",F8&lt;&gt;""),F8+C8,IF(AND(D8&lt;&gt;"",F8&lt;&gt;""),F8+D8,""))</f>
        <v/>
      </c>
      <c r="H8" s="106">
        <f>IF(G8="","",G8-IF(C8&lt;&gt;"",$I$3,$J$3))</f>
        <v/>
      </c>
      <c r="I8" s="107" t="n">
        <v>43115</v>
      </c>
      <c r="J8" s="107">
        <f>IF(AND(E8&lt;&gt;"",I8&lt;&gt;""),I8+E8,"")</f>
        <v/>
      </c>
      <c r="K8" s="77">
        <f>IF(J8="","",J8-$H$3)</f>
        <v/>
      </c>
      <c r="L8" s="86" t="inlineStr">
        <is>
          <t>OH</t>
        </is>
      </c>
      <c r="M8" s="86" t="inlineStr">
        <is>
          <t>Lycoming SI 1009BE p.2,p.3; SOCATA TB10 MM Rev.18 05-10-00 p.4</t>
        </is>
      </c>
      <c r="N8" s="72" t="n"/>
    </row>
    <row r="9">
      <c r="A9" s="86" t="inlineStr">
        <is>
          <t>Alternator</t>
        </is>
      </c>
      <c r="B9" s="86" t="inlineStr">
        <is>
          <t>ALX 8421 / ALX 8521 / ALU 8421</t>
        </is>
      </c>
      <c r="C9" s="86" t="n">
        <v>2000</v>
      </c>
      <c r="D9" s="86" t="n"/>
      <c r="E9" s="86" t="n">
        <v>4380</v>
      </c>
      <c r="F9" s="106" t="n">
        <v>1000</v>
      </c>
      <c r="G9" s="106">
        <f>IF(AND(C9&lt;&gt;"",F9&lt;&gt;""),F9+C9,IF(AND(D9&lt;&gt;"",F9&lt;&gt;""),F9+D9,""))</f>
        <v/>
      </c>
      <c r="H9" s="106">
        <f>IF(G9="","",G9-IF(C9&lt;&gt;"",$I$3,$J$3))</f>
        <v/>
      </c>
      <c r="I9" s="107" t="n">
        <v>43115</v>
      </c>
      <c r="J9" s="107">
        <f>IF(AND(E9&lt;&gt;"",I9&lt;&gt;""),I9+E9,"")</f>
        <v/>
      </c>
      <c r="K9" s="77">
        <f>IF(J9="","",J9-$H$3)</f>
        <v/>
      </c>
      <c r="L9" s="86" t="inlineStr">
        <is>
          <t>OH</t>
        </is>
      </c>
      <c r="M9" s="86" t="inlineStr">
        <is>
          <t>SOCATA TB10 MM Rev.18 05-10-00 p.1</t>
        </is>
      </c>
      <c r="N9" s="72" t="n"/>
    </row>
    <row r="10">
      <c r="A10" s="86" t="inlineStr">
        <is>
          <t>Propeller</t>
        </is>
      </c>
      <c r="B10" s="86" t="inlineStr">
        <is>
          <t>Hartzell HC-C2YK-1BF/F7666 A-2</t>
        </is>
      </c>
      <c r="C10" s="86" t="n"/>
      <c r="D10" s="86" t="n"/>
      <c r="E10" s="86" t="n"/>
      <c r="F10" s="106" t="n"/>
      <c r="G10" s="106">
        <f>IF(AND(C10&lt;&gt;"",F10&lt;&gt;""),F10+C10,IF(AND(D10&lt;&gt;"",F10&lt;&gt;""),F10+D10,""))</f>
        <v/>
      </c>
      <c r="H10" s="106">
        <f>IF(G10="","",G10-IF(C10&lt;&gt;"",$I$3,$J$3))</f>
        <v/>
      </c>
      <c r="I10" s="107" t="n"/>
      <c r="J10" s="107">
        <f>IF(AND(E10&lt;&gt;"",I10&lt;&gt;""),I10+E10,"")</f>
        <v/>
      </c>
      <c r="K10" s="77">
        <f>IF(J10="","",J10-$H$3)</f>
        <v/>
      </c>
      <c r="L10" s="86" t="inlineStr">
        <is>
          <t>OH</t>
        </is>
      </c>
      <c r="M10" s="86" t="inlineStr">
        <is>
          <t>SOCATA TB10 MM Rev.18 05-10-00 p.4</t>
        </is>
      </c>
      <c r="N10" s="72" t="n"/>
    </row>
    <row r="11">
      <c r="A11" s="86" t="inlineStr">
        <is>
          <t>Propeller governor</t>
        </is>
      </c>
      <c r="B11" s="86" t="inlineStr">
        <is>
          <t>Hartzell F4-26</t>
        </is>
      </c>
      <c r="C11" s="86" t="n">
        <v>2000</v>
      </c>
      <c r="D11" s="86" t="n"/>
      <c r="E11" s="86" t="n">
        <v>4380</v>
      </c>
      <c r="F11" s="106" t="n">
        <v>1000</v>
      </c>
      <c r="G11" s="106">
        <f>IF(AND(C11&lt;&gt;"",F11&lt;&gt;""),F11+C11,IF(AND(D11&lt;&gt;"",F11&lt;&gt;""),F11+D11,""))</f>
        <v/>
      </c>
      <c r="H11" s="106">
        <f>IF(G11="","",G11-IF(C11&lt;&gt;"",$I$3,$J$3))</f>
        <v/>
      </c>
      <c r="I11" s="107" t="n">
        <v>43115</v>
      </c>
      <c r="J11" s="107">
        <f>IF(AND(E11&lt;&gt;"",I11&lt;&gt;""),I11+E11,"")</f>
        <v/>
      </c>
      <c r="K11" s="77">
        <f>IF(J11="","",J11-$H$3)</f>
        <v/>
      </c>
      <c r="L11" s="86" t="inlineStr">
        <is>
          <t>OH</t>
        </is>
      </c>
      <c r="M11" s="86" t="inlineStr">
        <is>
          <t>SOCATA TB10 MM Rev.18 05-10-00 p.4</t>
        </is>
      </c>
      <c r="N11" s="72" t="n"/>
    </row>
    <row r="12">
      <c r="A12" s="86" t="inlineStr">
        <is>
          <t>Carburetor</t>
        </is>
      </c>
      <c r="B12" s="86" t="inlineStr">
        <is>
          <t>Marvel 71098 MA-4-5</t>
        </is>
      </c>
      <c r="C12" s="86" t="n">
        <v>2000</v>
      </c>
      <c r="D12" s="86" t="n"/>
      <c r="E12" s="86" t="n">
        <v>4380</v>
      </c>
      <c r="F12" s="106" t="n">
        <v>1000</v>
      </c>
      <c r="G12" s="106">
        <f>IF(AND(C12&lt;&gt;"",F12&lt;&gt;""),F12+C12,IF(AND(D12&lt;&gt;"",F12&lt;&gt;""),F12+D12,""))</f>
        <v/>
      </c>
      <c r="H12" s="106">
        <f>IF(G12="","",G12-IF(C12&lt;&gt;"",$I$3,$J$3))</f>
        <v/>
      </c>
      <c r="I12" s="107" t="n">
        <v>43115</v>
      </c>
      <c r="J12" s="107">
        <f>IF(AND(E12&lt;&gt;"",I12&lt;&gt;""),I12+E12,"")</f>
        <v/>
      </c>
      <c r="K12" s="77">
        <f>IF(J12="","",J12-$H$3)</f>
        <v/>
      </c>
      <c r="L12" s="86" t="inlineStr">
        <is>
          <t>OH</t>
        </is>
      </c>
      <c r="M12" s="86" t="inlineStr">
        <is>
          <t>SOCATA TB10 MM Rev.18 05-10-00 p.4</t>
        </is>
      </c>
      <c r="N12" s="72" t="n"/>
    </row>
    <row r="13">
      <c r="A13" s="86" t="inlineStr">
        <is>
          <t>Dual magneto</t>
        </is>
      </c>
      <c r="B13" s="86" t="inlineStr">
        <is>
          <t>TCM D4LN3000</t>
        </is>
      </c>
      <c r="C13" s="86" t="n">
        <v>2000</v>
      </c>
      <c r="D13" s="86" t="n"/>
      <c r="E13" s="86" t="n">
        <v>1460</v>
      </c>
      <c r="F13" s="106" t="n">
        <v>2000</v>
      </c>
      <c r="G13" s="106">
        <f>IF(AND(C13&lt;&gt;"",F13&lt;&gt;""),F13+C13,IF(AND(D13&lt;&gt;"",F13&lt;&gt;""),F13+D13,""))</f>
        <v/>
      </c>
      <c r="H13" s="106">
        <f>IF(G13="","",G13-IF(C13&lt;&gt;"",$I$3,$J$3))</f>
        <v/>
      </c>
      <c r="I13" s="107" t="n">
        <v>45444</v>
      </c>
      <c r="J13" s="107">
        <f>IF(AND(E13&lt;&gt;"",I13&lt;&gt;""),I13+E13,"")</f>
        <v/>
      </c>
      <c r="K13" s="77">
        <f>IF(J13="","",J13-$H$3)</f>
        <v/>
      </c>
      <c r="L13" s="86" t="inlineStr">
        <is>
          <t>OH</t>
        </is>
      </c>
      <c r="M13" s="86" t="inlineStr">
        <is>
          <t>SOCATA TB10 MM Rev.18 05-10-00 p.4</t>
        </is>
      </c>
      <c r="N13" s="72" t="n"/>
    </row>
    <row r="14">
      <c r="A14" s="86" t="inlineStr">
        <is>
          <t>Starter</t>
        </is>
      </c>
      <c r="B14" s="86" t="inlineStr">
        <is>
          <t>MZ 4222 / Lycoming LW15571</t>
        </is>
      </c>
      <c r="C14" s="86" t="n">
        <v>2000</v>
      </c>
      <c r="D14" s="86" t="n"/>
      <c r="E14" s="86" t="n">
        <v>4380</v>
      </c>
      <c r="F14" s="106" t="n">
        <v>1000</v>
      </c>
      <c r="G14" s="106">
        <f>IF(AND(C14&lt;&gt;"",F14&lt;&gt;""),F14+C14,IF(AND(D14&lt;&gt;"",F14&lt;&gt;""),F14+D14,""))</f>
        <v/>
      </c>
      <c r="H14" s="106">
        <f>IF(G14="","",G14-IF(C14&lt;&gt;"",$I$3,$J$3))</f>
        <v/>
      </c>
      <c r="I14" s="107" t="n">
        <v>43115</v>
      </c>
      <c r="J14" s="107">
        <f>IF(AND(E14&lt;&gt;"",I14&lt;&gt;""),I14+E14,"")</f>
        <v/>
      </c>
      <c r="K14" s="77">
        <f>IF(J14="","",J14-$H$3)</f>
        <v/>
      </c>
      <c r="L14" s="86" t="inlineStr">
        <is>
          <t>OH</t>
        </is>
      </c>
      <c r="M14" s="86" t="inlineStr">
        <is>
          <t>SOCATA TB10 MM Rev.18 05-10-00 p.4</t>
        </is>
      </c>
      <c r="N14" s="72" t="n"/>
    </row>
    <row r="15">
      <c r="A15" s="86" t="inlineStr">
        <is>
          <t>ELT battery assembly</t>
        </is>
      </c>
      <c r="B15" s="86" t="inlineStr">
        <is>
          <t>As installed</t>
        </is>
      </c>
      <c r="C15" s="86" t="n"/>
      <c r="D15" s="86" t="n"/>
      <c r="E15" s="86" t="n">
        <v>1460</v>
      </c>
      <c r="F15" s="106" t="n"/>
      <c r="G15" s="106">
        <f>IF(AND(C15&lt;&gt;"",F15&lt;&gt;""),F15+C15,IF(AND(D15&lt;&gt;"",F15&lt;&gt;""),F15+D15,""))</f>
        <v/>
      </c>
      <c r="H15" s="106">
        <f>IF(G15="","",G15-IF(C15&lt;&gt;"",$I$3,$J$3))</f>
        <v/>
      </c>
      <c r="I15" s="107" t="n">
        <v>45474</v>
      </c>
      <c r="J15" s="107">
        <f>IF(AND(E15&lt;&gt;"",I15&lt;&gt;""),I15+E15,"")</f>
        <v/>
      </c>
      <c r="K15" s="77">
        <f>IF(J15="","",J15-$H$3)</f>
        <v/>
      </c>
      <c r="L15" s="86" t="inlineStr">
        <is>
          <t>Discard</t>
        </is>
      </c>
      <c r="M15" s="86" t="inlineStr">
        <is>
          <t>SOCATA TB10 MM Rev.18 05-10-00 p.1-2</t>
        </is>
      </c>
      <c r="N15" s="72" t="n"/>
    </row>
    <row r="16">
      <c r="A16" s="67" t="inlineStr">
        <is>
          <t>ELT seals</t>
        </is>
      </c>
      <c r="B16" s="67" t="inlineStr">
        <is>
          <t>ELT90/91/96/97 seals</t>
        </is>
      </c>
      <c r="C16" s="67" t="n"/>
      <c r="D16" s="67" t="n"/>
      <c r="E16" s="67" t="n">
        <v>4380</v>
      </c>
      <c r="F16" s="103" t="n"/>
      <c r="G16" s="103">
        <f>IF(AND(C16&lt;&gt;"",F16&lt;&gt;""),F16+C16,IF(AND(D16&lt;&gt;"",F16&lt;&gt;""),F16+D16,""))</f>
        <v/>
      </c>
      <c r="H16" s="103">
        <f>IF(G16="","",G16-IF(C16&lt;&gt;"",$I$3,$J$3))</f>
        <v/>
      </c>
      <c r="I16" s="104" t="n">
        <v>43115</v>
      </c>
      <c r="J16" s="104">
        <f>IF(AND(E16&lt;&gt;"",I16&lt;&gt;""),I16+E16,"")</f>
        <v/>
      </c>
      <c r="K16" s="70">
        <f>IF(J16="","",J16-$H$3)</f>
        <v/>
      </c>
      <c r="L16" s="67" t="inlineStr">
        <is>
          <t>Discard</t>
        </is>
      </c>
      <c r="M16" s="67" t="inlineStr">
        <is>
          <t>SOCATA TB10 MM Rev.18 05-10-00 p.2</t>
        </is>
      </c>
      <c r="N16" s="67" t="n"/>
    </row>
    <row r="17" ht="33" customHeight="1" s="48">
      <c r="A17" s="86" t="inlineStr">
        <is>
          <t>Fire extinguisher</t>
        </is>
      </c>
      <c r="B17" s="86" t="inlineStr">
        <is>
          <t>MAIP/AREOFEU/LHOTELLIER as installed</t>
        </is>
      </c>
      <c r="C17" s="86" t="n"/>
      <c r="D17" s="86" t="n"/>
      <c r="E17" s="86" t="n">
        <v>3650</v>
      </c>
      <c r="F17" s="106" t="n"/>
      <c r="G17" s="106">
        <f>IF(AND(C17&lt;&gt;"",F17&lt;&gt;""),F17+C17,IF(AND(D17&lt;&gt;"",F17&lt;&gt;""),F17+D17,""))</f>
        <v/>
      </c>
      <c r="H17" s="106">
        <f>IF(G17="","",G17-IF(C17&lt;&gt;"",$I$3,$J$3))</f>
        <v/>
      </c>
      <c r="I17" s="107" t="n">
        <v>45306</v>
      </c>
      <c r="J17" s="107">
        <f>IF(AND(E17&lt;&gt;"",I17&lt;&gt;""),I17+E17,"")</f>
        <v/>
      </c>
      <c r="K17" s="77">
        <f>IF(J17="","",J17-$H$3)</f>
        <v/>
      </c>
      <c r="L17" s="86" t="inlineStr">
        <is>
          <t>Discard/Inspection</t>
        </is>
      </c>
      <c r="M17" s="88" t="inlineStr">
        <is>
          <t>SOCATA TB10 MM Rev.18 05-10-00 p.3 TR006.05</t>
        </is>
      </c>
      <c r="N17" s="72" t="n"/>
    </row>
    <row r="18">
      <c r="A18" s="82" t="inlineStr">
        <is>
          <t>Vacuum system filter</t>
        </is>
      </c>
      <c r="B18" s="82" t="inlineStr">
        <is>
          <t>AIRBORNE 1J4-7</t>
        </is>
      </c>
      <c r="C18" s="82" t="n">
        <v>500</v>
      </c>
      <c r="D18" s="82" t="n"/>
      <c r="E18" s="82" t="n">
        <v>365</v>
      </c>
      <c r="F18" s="113" t="n">
        <v>2100</v>
      </c>
      <c r="G18" s="113">
        <f>IF(AND(C18&lt;&gt;"",F18&lt;&gt;""),F18+C18,IF(AND(D18&lt;&gt;"",F18&lt;&gt;""),F18+D18,""))</f>
        <v/>
      </c>
      <c r="H18" s="113">
        <f>IF(G18="","",G18-IF(C18&lt;&gt;"",$I$3,$J$3))</f>
        <v/>
      </c>
      <c r="I18" s="114" t="n">
        <v>46101</v>
      </c>
      <c r="J18" s="114">
        <f>IF(AND(E18&lt;&gt;"",I18&lt;&gt;""),I18+E18,"")</f>
        <v/>
      </c>
      <c r="K18" s="85">
        <f>IF(J18="","",J18-$H$3)</f>
        <v/>
      </c>
      <c r="L18" s="82" t="inlineStr">
        <is>
          <t>Discard</t>
        </is>
      </c>
      <c r="M18" s="82" t="inlineStr">
        <is>
          <t>SOCATA TB10 MM Rev.18 05-10-00 p.3</t>
        </is>
      </c>
      <c r="N18" s="82" t="n"/>
    </row>
    <row r="19">
      <c r="A19" s="86" t="inlineStr">
        <is>
          <t>Emergency vacuum pump</t>
        </is>
      </c>
      <c r="B19" s="86" t="inlineStr">
        <is>
          <t>AIRBORNE 4A3-1 14V</t>
        </is>
      </c>
      <c r="C19" s="86" t="n"/>
      <c r="D19" s="86" t="n"/>
      <c r="E19" s="86" t="n">
        <v>3650</v>
      </c>
      <c r="F19" s="106" t="n"/>
      <c r="G19" s="106">
        <f>IF(AND(C19&lt;&gt;"",F19&lt;&gt;""),F19+C19,IF(AND(D19&lt;&gt;"",F19&lt;&gt;""),F19+D19,""))</f>
        <v/>
      </c>
      <c r="H19" s="106">
        <f>IF(G19="","",G19-IF(C19&lt;&gt;"",$I$3,$J$3))</f>
        <v/>
      </c>
      <c r="I19" s="107" t="n">
        <v>43115</v>
      </c>
      <c r="J19" s="107">
        <f>IF(AND(E19&lt;&gt;"",I19&lt;&gt;""),I19+E19,"")</f>
        <v/>
      </c>
      <c r="K19" s="77">
        <f>IF(J19="","",J19-$H$3)</f>
        <v/>
      </c>
      <c r="L19" s="86" t="inlineStr">
        <is>
          <t>Discard</t>
        </is>
      </c>
      <c r="M19" s="86" t="inlineStr">
        <is>
          <t>SOCATA TB10 MM Rev.18 05-10-00 p.3</t>
        </is>
      </c>
      <c r="N19" s="72" t="n"/>
    </row>
    <row r="20">
      <c r="A20" s="72" t="inlineStr">
        <is>
          <t>Access door latches</t>
        </is>
      </c>
      <c r="B20" s="72" t="inlineStr">
        <is>
          <t>TB10 25012102</t>
        </is>
      </c>
      <c r="C20" s="72" t="n">
        <v>1500</v>
      </c>
      <c r="D20" s="72" t="n"/>
      <c r="E20" s="72" t="n"/>
      <c r="F20" s="105" t="n">
        <v>1000</v>
      </c>
      <c r="G20" s="105">
        <f>IF(AND(C20&lt;&gt;"",F20&lt;&gt;""),F20+C20,IF(AND(D20&lt;&gt;"",F20&lt;&gt;""),F20+D20,""))</f>
        <v/>
      </c>
      <c r="H20" s="105">
        <f>IF(G20="","",G20-IF(C20&lt;&gt;"",$I$3,$J$3))</f>
        <v/>
      </c>
      <c r="I20" s="108" t="n"/>
      <c r="J20" s="108">
        <f>IF(AND(E20&lt;&gt;"",I20&lt;&gt;""),I20+E20,"")</f>
        <v/>
      </c>
      <c r="K20" s="76">
        <f>IF(J20="","",J20-$H$3)</f>
        <v/>
      </c>
      <c r="L20" s="72" t="inlineStr">
        <is>
          <t>Discard</t>
        </is>
      </c>
      <c r="M20" s="72" t="inlineStr">
        <is>
          <t>SOCATA TB10 MM Rev.18 05-10-00 p.3</t>
        </is>
      </c>
      <c r="N20" s="72" t="n"/>
    </row>
    <row r="21" ht="15.75" customHeight="1" s="48">
      <c r="A21" s="72" t="inlineStr">
        <is>
          <t>Teflon hoses</t>
        </is>
      </c>
      <c r="B21" s="72" t="inlineStr">
        <is>
          <t>Teflon hoses</t>
        </is>
      </c>
      <c r="C21" s="72" t="n"/>
      <c r="D21" s="72" t="n"/>
      <c r="E21" s="72" t="n"/>
      <c r="F21" s="105" t="n"/>
      <c r="G21" s="105">
        <f>IF(AND(C21&lt;&gt;"",F21&lt;&gt;""),F21+C21,IF(AND(D21&lt;&gt;"",F21&lt;&gt;""),F21+D21,""))</f>
        <v/>
      </c>
      <c r="H21" s="105">
        <f>IF(G21="","",G21-IF(C21&lt;&gt;"",$I$3,$J$3))</f>
        <v/>
      </c>
      <c r="I21" s="108" t="n"/>
      <c r="J21" s="108">
        <f>IF(AND(E21&lt;&gt;"",I21&lt;&gt;""),I21+E21,"")</f>
        <v/>
      </c>
      <c r="K21" s="76">
        <f>IF(J21="","",J21-$H$3)</f>
        <v/>
      </c>
      <c r="L21" s="72" t="inlineStr">
        <is>
          <t>On Condition</t>
        </is>
      </c>
      <c r="M21" s="72" t="inlineStr">
        <is>
          <t>SOCATA TB10 MM Rev.18 05-10-00 p.5-9</t>
        </is>
      </c>
      <c r="N21" s="72" t="n"/>
    </row>
    <row r="22" ht="15.75" customHeight="1" s="48">
      <c r="A22" s="72" t="inlineStr">
        <is>
          <t>Fuel selector filter/drain hose</t>
        </is>
      </c>
      <c r="B22" s="72" t="inlineStr">
        <is>
          <t>Fuel selector filter/drain hose</t>
        </is>
      </c>
      <c r="C22" s="72" t="n">
        <v>2000</v>
      </c>
      <c r="D22" s="72" t="n"/>
      <c r="E22" s="72" t="n">
        <v>3650</v>
      </c>
      <c r="F22" s="105" t="n">
        <v>2000</v>
      </c>
      <c r="G22" s="105">
        <f>IF(AND(C22&lt;&gt;"",F22&lt;&gt;""),F22+C22,IF(AND(D22&lt;&gt;"",F22&lt;&gt;""),F22+D22,""))</f>
        <v/>
      </c>
      <c r="H22" s="105">
        <f>IF(G22="","",G22-IF(C22&lt;&gt;"",$I$3,$J$3))</f>
        <v/>
      </c>
      <c r="I22" s="108" t="n">
        <v>43115</v>
      </c>
      <c r="J22" s="108">
        <f>IF(AND(E22&lt;&gt;"",I22&lt;&gt;""),I22+E22,"")</f>
        <v/>
      </c>
      <c r="K22" s="76">
        <f>IF(J22="","",J22-$H$3)</f>
        <v/>
      </c>
      <c r="L22" s="72" t="inlineStr">
        <is>
          <t>Discard</t>
        </is>
      </c>
      <c r="M22" s="72" t="inlineStr">
        <is>
          <t>SOCATA TB10 MM Rev.18 05-10-00 p.5-9; AMP 10.1</t>
        </is>
      </c>
      <c r="N22" s="72" t="n"/>
    </row>
    <row r="23" ht="15.75" customHeight="1" s="48">
      <c r="A23" s="72" t="inlineStr">
        <is>
          <t>Elastomer/rubber/vinyl hoses</t>
        </is>
      </c>
      <c r="B23" s="72" t="inlineStr">
        <is>
          <t>Assorted</t>
        </is>
      </c>
      <c r="C23" s="72" t="n"/>
      <c r="D23" s="72" t="n"/>
      <c r="E23" s="72" t="n"/>
      <c r="F23" s="105" t="n"/>
      <c r="G23" s="105">
        <f>IF(AND(C23&lt;&gt;"",F23&lt;&gt;""),F23+C23,IF(AND(D23&lt;&gt;"",F23&lt;&gt;""),F23+D23,""))</f>
        <v/>
      </c>
      <c r="H23" s="105">
        <f>IF(G23="","",G23-IF(C23&lt;&gt;"",$I$3,$J$3))</f>
        <v/>
      </c>
      <c r="I23" s="108" t="n">
        <v>44941</v>
      </c>
      <c r="J23" s="108">
        <f>IF(AND(E23&lt;&gt;"",I23&lt;&gt;""),I23+E23,"")</f>
        <v/>
      </c>
      <c r="K23" s="76">
        <f>IF(J23="","",J23-$H$3)</f>
        <v/>
      </c>
      <c r="L23" s="72" t="inlineStr">
        <is>
          <t>Discard</t>
        </is>
      </c>
      <c r="M23" s="72" t="inlineStr">
        <is>
          <t>SOCATA TB10 MM Rev.18 05-10-00 p.5-9</t>
        </is>
      </c>
      <c r="N23" s="72" t="n"/>
    </row>
    <row r="24" ht="15.75" customHeight="1" s="48">
      <c r="A24" s="72" t="n"/>
      <c r="B24" s="72" t="n"/>
      <c r="C24" s="72" t="n"/>
      <c r="D24" s="72" t="n"/>
      <c r="E24" s="72" t="n"/>
      <c r="F24" s="105" t="n"/>
      <c r="G24" s="105" t="n"/>
      <c r="H24" s="105" t="n"/>
      <c r="I24" s="108" t="n"/>
      <c r="J24" s="108" t="n"/>
      <c r="K24" s="76" t="n"/>
      <c r="L24" s="72" t="n"/>
      <c r="M24" s="72" t="n"/>
      <c r="N24" s="110" t="n"/>
    </row>
    <row r="25" ht="15.75" customHeight="1" s="48">
      <c r="A25" s="86" t="n"/>
      <c r="B25" s="109" t="n"/>
      <c r="C25" s="10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10" t="n"/>
    </row>
    <row r="26" ht="15.75" customHeight="1" s="48">
      <c r="A26" s="72" t="n"/>
      <c r="B26" s="72" t="n"/>
      <c r="C26" s="72" t="n"/>
      <c r="D26" s="72" t="n"/>
      <c r="E26" s="72" t="n"/>
      <c r="F26" s="105" t="n"/>
      <c r="G26" s="105" t="n"/>
      <c r="H26" s="105" t="n"/>
      <c r="I26" s="108" t="n"/>
      <c r="J26" s="108" t="n"/>
      <c r="K26" s="76" t="n"/>
      <c r="L26" s="72" t="n"/>
      <c r="M26" s="72" t="n"/>
      <c r="N26" s="110" t="n"/>
    </row>
    <row r="27" ht="15.75" customHeight="1" s="48">
      <c r="A27" s="67" t="inlineStr">
        <is>
          <t>AIRWORTHINESS LIMITATIONS Items</t>
        </is>
      </c>
      <c r="B27" s="67" t="n"/>
      <c r="C27" s="67" t="n"/>
      <c r="D27" s="67" t="n"/>
      <c r="E27" s="67" t="n"/>
      <c r="F27" s="103" t="n"/>
      <c r="G27" s="103" t="n"/>
      <c r="H27" s="103" t="n"/>
      <c r="I27" s="104" t="n"/>
      <c r="J27" s="104" t="n"/>
      <c r="K27" s="70" t="n"/>
      <c r="L27" s="67" t="n"/>
      <c r="M27" s="67" t="n"/>
      <c r="N27" s="110" t="n"/>
    </row>
    <row r="28" ht="15.75" customHeight="1" s="48">
      <c r="A28" s="79" t="n"/>
      <c r="B28" s="79" t="n"/>
      <c r="C28" s="79" t="inlineStr">
        <is>
          <t>Interval /TBO</t>
        </is>
      </c>
      <c r="D28" s="72" t="n"/>
      <c r="E28" s="72" t="n"/>
      <c r="F28" s="111" t="inlineStr">
        <is>
          <t>Interval FH/ CyC/Ldgs</t>
        </is>
      </c>
      <c r="G28" s="105" t="n"/>
      <c r="H28" s="105" t="n"/>
      <c r="I28" s="112" t="inlineStr">
        <is>
          <t>Calendar</t>
        </is>
      </c>
      <c r="J28" s="108" t="n"/>
      <c r="K28" s="76" t="n"/>
      <c r="L28" s="79" t="n"/>
      <c r="M28" s="79" t="inlineStr">
        <is>
          <t>Applicable ICA reference</t>
        </is>
      </c>
      <c r="N28" s="110" t="n"/>
    </row>
    <row r="29" ht="15.75" customHeight="1" s="48">
      <c r="A29" s="82" t="inlineStr">
        <is>
          <t>Item</t>
        </is>
      </c>
      <c r="B29" s="82" t="inlineStr">
        <is>
          <t>Model</t>
        </is>
      </c>
      <c r="C29" s="82" t="inlineStr">
        <is>
          <t>FH</t>
        </is>
      </c>
      <c r="D29" s="82" t="inlineStr">
        <is>
          <t>Ldg/Cycle</t>
        </is>
      </c>
      <c r="E29" s="82" t="inlineStr">
        <is>
          <t>days</t>
        </is>
      </c>
      <c r="F29" s="113" t="inlineStr">
        <is>
          <t>Performed</t>
        </is>
      </c>
      <c r="G29" s="113" t="inlineStr">
        <is>
          <t>Next due</t>
        </is>
      </c>
      <c r="H29" s="113" t="inlineStr">
        <is>
          <t>to go</t>
        </is>
      </c>
      <c r="I29" s="114" t="inlineStr">
        <is>
          <t>Performed</t>
        </is>
      </c>
      <c r="J29" s="114" t="inlineStr">
        <is>
          <t>Next due</t>
        </is>
      </c>
      <c r="K29" s="85" t="inlineStr">
        <is>
          <t>to go</t>
        </is>
      </c>
      <c r="L29" s="82" t="inlineStr">
        <is>
          <t>Type of Task (OH, Discard, On Condition)</t>
        </is>
      </c>
      <c r="M29" s="82" t="inlineStr">
        <is>
          <t>Document / Revision</t>
        </is>
      </c>
      <c r="N29" s="110" t="n"/>
    </row>
    <row r="30" ht="15.75" customHeight="1" s="48">
      <c r="A30" s="89" t="inlineStr">
        <is>
          <t>STRUCTURE SERVICE LIFE</t>
        </is>
      </c>
      <c r="B30" s="109" t="n"/>
      <c r="C30" s="109" t="n"/>
      <c r="D30" s="109" t="n"/>
      <c r="E30" s="109" t="n"/>
      <c r="F30" s="109" t="n"/>
      <c r="G30" s="109" t="n"/>
      <c r="H30" s="109" t="n"/>
      <c r="I30" s="109" t="n"/>
      <c r="J30" s="109" t="n"/>
      <c r="K30" s="109" t="n"/>
      <c r="L30" s="109" t="n"/>
      <c r="M30" s="109" t="n"/>
      <c r="N30" s="110" t="n"/>
    </row>
    <row r="31" ht="15.75" customHeight="1" s="48">
      <c r="A31" s="86" t="inlineStr">
        <is>
          <t>Engine and Nose Landing Gear mounts</t>
        </is>
      </c>
      <c r="B31" s="86" t="inlineStr">
        <is>
          <t>TB9/TB10/TB200 mounts</t>
        </is>
      </c>
      <c r="C31" s="86" t="n">
        <v>10000</v>
      </c>
      <c r="D31" s="86" t="n"/>
      <c r="E31" s="86" t="n"/>
      <c r="F31" s="106" t="n">
        <v>0</v>
      </c>
      <c r="G31" s="106">
        <f>IF(AND(C31&lt;&gt;"",F31&lt;&gt;""),F31+C31,IF(AND(D31&lt;&gt;"",F31&lt;&gt;""),F31+D31,""))</f>
        <v/>
      </c>
      <c r="H31" s="106">
        <f>IF(G31="","",G31-IF(C31&lt;&gt;"",$I$3,$J$3))</f>
        <v/>
      </c>
      <c r="I31" s="107" t="n"/>
      <c r="J31" s="107">
        <f>IF(AND(E31&lt;&gt;"",I31&lt;&gt;""),I31+E31,"")</f>
        <v/>
      </c>
      <c r="K31" s="77">
        <f>IF(J31="","",J31-$H$3)</f>
        <v/>
      </c>
      <c r="L31" s="86" t="inlineStr">
        <is>
          <t>Discard / Airworthiness Limitation</t>
        </is>
      </c>
      <c r="M31" s="86" t="inlineStr">
        <is>
          <t>EASA AD 2007-0034; AMM Rev.18 ALS/time limits</t>
        </is>
      </c>
      <c r="N31" s="72" t="n"/>
    </row>
    <row r="32" ht="15.75" customHeight="1" s="48">
      <c r="A32" s="86" t="n"/>
      <c r="B32" s="86" t="n"/>
      <c r="C32" s="86" t="n"/>
      <c r="D32" s="86" t="n"/>
      <c r="E32" s="86" t="n"/>
      <c r="F32" s="106" t="n"/>
      <c r="G32" s="106" t="n"/>
      <c r="H32" s="106" t="n"/>
      <c r="I32" s="107" t="n"/>
      <c r="J32" s="107" t="n"/>
      <c r="K32" s="77" t="n"/>
      <c r="L32" s="86" t="n"/>
      <c r="M32" s="86" t="n"/>
      <c r="N32" s="110" t="n"/>
    </row>
    <row r="33" ht="15.75" customHeight="1" s="48">
      <c r="A33" s="86" t="n"/>
      <c r="B33" s="86" t="n"/>
      <c r="C33" s="86" t="n"/>
      <c r="D33" s="86" t="n"/>
      <c r="E33" s="86" t="n"/>
      <c r="F33" s="106" t="n"/>
      <c r="G33" s="106" t="n"/>
      <c r="H33" s="106" t="n"/>
      <c r="I33" s="107" t="n"/>
      <c r="J33" s="107" t="n"/>
      <c r="K33" s="77" t="n"/>
      <c r="L33" s="86" t="n"/>
      <c r="M33" s="86" t="n"/>
      <c r="N33" s="110" t="n"/>
    </row>
    <row r="34" ht="15.75" customHeight="1" s="48">
      <c r="A34" s="86" t="n"/>
      <c r="B34" s="86" t="n"/>
      <c r="C34" s="86" t="n"/>
      <c r="D34" s="86" t="n"/>
      <c r="E34" s="86" t="n"/>
      <c r="F34" s="106" t="n"/>
      <c r="G34" s="106" t="n"/>
      <c r="H34" s="106" t="n"/>
      <c r="I34" s="107" t="n"/>
      <c r="J34" s="107" t="n"/>
      <c r="K34" s="77" t="n"/>
      <c r="L34" s="86" t="n"/>
      <c r="M34" s="86" t="n"/>
      <c r="N34" s="110" t="n"/>
    </row>
    <row r="35" ht="15.75" customHeight="1" s="48">
      <c r="A35" s="89" t="inlineStr">
        <is>
          <t>ENGINE MOUNT AND LANDING GEAR MOUNT SERVICE LIFE</t>
        </is>
      </c>
      <c r="B35" s="72" t="n"/>
      <c r="C35" s="72" t="n"/>
      <c r="D35" s="72" t="n"/>
      <c r="E35" s="72" t="n"/>
      <c r="F35" s="105" t="n"/>
      <c r="G35" s="105" t="n"/>
      <c r="H35" s="105" t="n"/>
      <c r="I35" s="108" t="n"/>
      <c r="J35" s="108" t="n"/>
      <c r="K35" s="76" t="n"/>
      <c r="L35" s="72" t="n"/>
      <c r="M35" s="72" t="n"/>
      <c r="N35" s="110" t="n"/>
    </row>
    <row r="36" ht="15.75" customHeight="1" s="48">
      <c r="A36" s="86" t="n"/>
      <c r="B36" s="86" t="n"/>
      <c r="C36" s="86" t="n"/>
      <c r="D36" s="86" t="n"/>
      <c r="E36" s="86" t="n"/>
      <c r="F36" s="106" t="n"/>
      <c r="G36" s="106" t="n"/>
      <c r="H36" s="106" t="n"/>
      <c r="I36" s="107" t="n"/>
      <c r="J36" s="107" t="n"/>
      <c r="K36" s="77" t="n"/>
      <c r="L36" s="86" t="n"/>
      <c r="M36" s="86" t="n"/>
      <c r="N36" s="110" t="n"/>
    </row>
    <row r="37" ht="15.75" customHeight="1" s="48">
      <c r="A37" s="86" t="n"/>
      <c r="B37" s="86" t="n"/>
      <c r="C37" s="86" t="n"/>
      <c r="D37" s="86" t="n"/>
      <c r="E37" s="86" t="n"/>
      <c r="F37" s="106" t="n"/>
      <c r="G37" s="106" t="n"/>
      <c r="H37" s="106" t="n"/>
      <c r="I37" s="107" t="n"/>
      <c r="J37" s="107" t="n"/>
      <c r="K37" s="77" t="n"/>
      <c r="L37" s="86" t="n"/>
      <c r="M37" s="86" t="n"/>
      <c r="N37" s="110" t="n"/>
    </row>
    <row r="38" ht="15.75" customHeight="1" s="48">
      <c r="A38" s="82" t="n"/>
      <c r="B38" s="82" t="n"/>
      <c r="C38" s="82" t="n"/>
      <c r="D38" s="82" t="n"/>
      <c r="E38" s="82" t="n"/>
      <c r="F38" s="113" t="n"/>
      <c r="G38" s="113" t="n"/>
      <c r="H38" s="113" t="n"/>
      <c r="I38" s="114" t="n"/>
      <c r="J38" s="114" t="n"/>
      <c r="K38" s="85" t="n"/>
      <c r="L38" s="82" t="n"/>
      <c r="M38" s="82" t="n"/>
      <c r="N38" s="82" t="n"/>
    </row>
    <row r="39" ht="15.75" customHeight="1" s="48">
      <c r="A39" s="86" t="n"/>
      <c r="B39" s="86" t="n"/>
      <c r="C39" s="86" t="n"/>
      <c r="D39" s="86" t="n"/>
      <c r="E39" s="86" t="n"/>
      <c r="F39" s="106" t="n"/>
      <c r="G39" s="106" t="n"/>
      <c r="H39" s="106" t="n"/>
      <c r="I39" s="107" t="n"/>
      <c r="J39" s="107" t="n"/>
      <c r="K39" s="77" t="n"/>
      <c r="L39" s="86" t="n"/>
      <c r="M39" s="86" t="n"/>
      <c r="N39" s="72" t="n"/>
    </row>
    <row r="40" ht="15.75" customHeight="1" s="48">
      <c r="A40" s="86" t="n"/>
      <c r="B40" s="86" t="n"/>
      <c r="C40" s="86" t="n"/>
      <c r="D40" s="86" t="n"/>
      <c r="E40" s="86" t="n"/>
      <c r="F40" s="106" t="n"/>
      <c r="G40" s="106" t="n"/>
      <c r="H40" s="106" t="n"/>
      <c r="I40" s="107" t="n"/>
      <c r="J40" s="107" t="n"/>
      <c r="K40" s="77" t="n"/>
      <c r="L40" s="86" t="n"/>
      <c r="M40" s="86" t="n"/>
      <c r="N40" s="72" t="n"/>
    </row>
    <row r="41" ht="15.75" customHeight="1" s="48">
      <c r="A41" s="86" t="n"/>
      <c r="B41" s="86" t="n"/>
      <c r="C41" s="86" t="n"/>
      <c r="D41" s="86" t="n"/>
      <c r="E41" s="86" t="n"/>
      <c r="F41" s="106" t="n"/>
      <c r="G41" s="106" t="n"/>
      <c r="H41" s="106" t="n"/>
      <c r="I41" s="107" t="n"/>
      <c r="J41" s="107" t="n"/>
      <c r="K41" s="77" t="n"/>
      <c r="L41" s="86" t="n"/>
      <c r="M41" s="86" t="n"/>
      <c r="N41" s="72" t="n"/>
    </row>
    <row r="42" ht="15.75" customHeight="1" s="48">
      <c r="A42" s="86" t="n"/>
      <c r="B42" s="86" t="n"/>
      <c r="C42" s="86" t="n"/>
      <c r="D42" s="86" t="n"/>
      <c r="E42" s="86" t="n"/>
      <c r="F42" s="106" t="n"/>
      <c r="G42" s="106" t="n"/>
      <c r="H42" s="106" t="n"/>
      <c r="I42" s="107" t="n"/>
      <c r="J42" s="107" t="n"/>
      <c r="K42" s="77" t="n"/>
      <c r="L42" s="86" t="n"/>
      <c r="M42" s="86" t="n"/>
      <c r="N42" s="72" t="n"/>
    </row>
    <row r="43" ht="15.75" customHeight="1" s="48"/>
    <row r="44" ht="15.75" customHeight="1" s="48"/>
    <row r="45" ht="15.75" customHeight="1" s="48"/>
    <row r="46" ht="15.75" customHeight="1" s="48"/>
    <row r="47" ht="15.75" customHeight="1" s="48"/>
    <row r="48" ht="15.75" customHeight="1" s="48"/>
    <row r="49" ht="15.75" customHeight="1" s="48"/>
    <row r="50" ht="15.75" customHeight="1" s="48"/>
    <row r="51" ht="15.75" customHeight="1" s="48"/>
    <row r="52" ht="15.75" customHeight="1" s="48"/>
    <row r="53" ht="15.75" customHeight="1" s="48"/>
    <row r="54" ht="15.75" customHeight="1" s="48"/>
    <row r="55" ht="15.75" customHeight="1" s="48"/>
    <row r="56" ht="15.75" customHeight="1" s="48"/>
    <row r="57" ht="15.75" customHeight="1" s="48"/>
    <row r="58" ht="15.75" customHeight="1" s="48"/>
    <row r="59" ht="15.75" customHeight="1" s="48"/>
    <row r="60" ht="15.75" customHeight="1" s="48"/>
    <row r="61" ht="15.75" customHeight="1" s="48"/>
    <row r="62" ht="15.75" customHeight="1" s="48"/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19">
    <mergeCell ref="M34:N34"/>
    <mergeCell ref="A30:N30"/>
    <mergeCell ref="M35:N35"/>
    <mergeCell ref="A25:N25"/>
    <mergeCell ref="M7:N7"/>
    <mergeCell ref="M6:N6"/>
    <mergeCell ref="M37:N37"/>
    <mergeCell ref="M28:N28"/>
    <mergeCell ref="M36:N36"/>
    <mergeCell ref="M27:N27"/>
    <mergeCell ref="M33:N33"/>
    <mergeCell ref="A5:N5"/>
    <mergeCell ref="M26:N26"/>
    <mergeCell ref="C6:E6"/>
    <mergeCell ref="I6:K6"/>
    <mergeCell ref="M24:N24"/>
    <mergeCell ref="F6:H6"/>
    <mergeCell ref="M29:N29"/>
    <mergeCell ref="M32:N32"/>
  </mergeCells>
  <conditionalFormatting sqref="H8:H23">
    <cfRule type="expression" priority="1" dxfId="0">
      <formula>AND(ISNUMBER(H8),H8&lt;=0)</formula>
    </cfRule>
    <cfRule type="expression" priority="2" dxfId="1">
      <formula>AND(ISNUMBER(H8),H8&gt;0,H8&lt;=30)</formula>
    </cfRule>
  </conditionalFormatting>
  <conditionalFormatting sqref="K8:K23">
    <cfRule type="expression" priority="3" dxfId="0">
      <formula>AND(ISNUMBER(K8),K8&lt;=0)</formula>
    </cfRule>
    <cfRule type="expression" priority="4" dxfId="1">
      <formula>AND(ISNUMBER(K8),K8&gt;0,K8&lt;=30)</formula>
    </cfRule>
  </conditionalFormatting>
  <conditionalFormatting sqref="H31">
    <cfRule type="expression" priority="5" dxfId="0">
      <formula>AND(ISNUMBER(H31),H31&lt;=0)</formula>
    </cfRule>
    <cfRule type="expression" priority="6" dxfId="1">
      <formula>AND(ISNUMBER(H31),H31&gt;0,H31&lt;=30)</formula>
    </cfRule>
  </conditionalFormatting>
  <conditionalFormatting sqref="K31">
    <cfRule type="expression" priority="7" dxfId="0">
      <formula>AND(ISNUMBER(K31),K31&lt;=0)</formula>
    </cfRule>
    <cfRule type="expression" priority="8" dxfId="1">
      <formula>AND(ISNUMBER(K31),K31&gt;0,K31&lt;=30)</formula>
    </cfRule>
  </conditionalFormatting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8" customWidth="1" style="48" min="1" max="1"/>
    <col width="10" customWidth="1" style="48" min="2" max="2"/>
    <col width="36" customWidth="1" style="48" min="3" max="3"/>
    <col width="13" customWidth="1" style="48" min="4" max="4"/>
    <col width="13" customWidth="1" style="48" min="5" max="6"/>
    <col width="13" customWidth="1" style="48" min="6" max="6"/>
    <col width="13" customWidth="1" style="48" min="7" max="8"/>
    <col width="13" customWidth="1" style="48" min="8" max="8"/>
    <col width="13" customWidth="1" style="48" min="9" max="9"/>
    <col width="13" customWidth="1" style="48" min="10" max="12"/>
    <col width="13" customWidth="1" style="48" min="11" max="11"/>
    <col width="13" customWidth="1" style="48" min="12" max="12"/>
    <col width="58" customWidth="1" style="48" min="13" max="13"/>
    <col width="10.71" customWidth="1" style="48" min="14" max="26"/>
  </cols>
  <sheetData>
    <row r="1">
      <c r="A1" s="67" t="inlineStr">
        <is>
          <t>Registration</t>
        </is>
      </c>
      <c r="B1" s="67" t="n"/>
      <c r="C1" s="67" t="n"/>
      <c r="D1" s="67" t="inlineStr">
        <is>
          <t>EC-SIM</t>
        </is>
      </c>
      <c r="E1" s="67" t="n"/>
      <c r="F1" s="67" t="n"/>
      <c r="G1" s="103" t="n"/>
      <c r="H1" s="103" t="inlineStr">
        <is>
          <t>Date:</t>
        </is>
      </c>
      <c r="I1" s="103">
        <f>TODAY()</f>
        <v/>
      </c>
      <c r="J1" s="104" t="n"/>
      <c r="K1" s="104" t="n"/>
      <c r="L1" s="70" t="n"/>
      <c r="M1" s="67" t="n"/>
    </row>
    <row r="2">
      <c r="A2" s="71" t="inlineStr">
        <is>
          <t>Aircraft Model</t>
        </is>
      </c>
      <c r="B2" s="72" t="n"/>
      <c r="C2" s="72" t="n"/>
      <c r="D2" s="71" t="inlineStr">
        <is>
          <t>Socata TB 10</t>
        </is>
      </c>
      <c r="E2" s="72" t="n"/>
      <c r="F2" s="72" t="n"/>
      <c r="G2" s="105" t="n"/>
      <c r="H2" s="105" t="n"/>
      <c r="I2" s="106" t="inlineStr">
        <is>
          <t>Date</t>
        </is>
      </c>
      <c r="J2" s="107" t="inlineStr">
        <is>
          <t>Hrs</t>
        </is>
      </c>
      <c r="K2" s="107" t="inlineStr">
        <is>
          <t>Cycles</t>
        </is>
      </c>
      <c r="L2" s="76" t="inlineStr">
        <is>
          <t>Ldgs</t>
        </is>
      </c>
      <c r="M2" s="72" t="n"/>
    </row>
    <row r="3">
      <c r="A3" s="71" t="inlineStr">
        <is>
          <t>Serial Number</t>
        </is>
      </c>
      <c r="B3" s="72" t="n"/>
      <c r="C3" s="72" t="n"/>
      <c r="D3" s="71" t="n">
        <v>649</v>
      </c>
      <c r="E3" s="72" t="n"/>
      <c r="F3" s="72" t="n"/>
      <c r="G3" s="105" t="n"/>
      <c r="H3" s="106" t="inlineStr">
        <is>
          <t>Last readout of the Flight Log:</t>
        </is>
      </c>
      <c r="I3" s="107">
        <f>LOOKUP(2,1/('Flight Log'!$A:$A&lt;&gt;""),'Flight Log'!$A:$A)</f>
        <v/>
      </c>
      <c r="J3" s="106">
        <f>LOOKUP(2,1/('Flight Log'!$E:$E&lt;&gt;""),'Flight Log'!$E:$E)</f>
        <v/>
      </c>
      <c r="K3" s="77">
        <f>LOOKUP(2,1/('Flight Log'!$F:$F&lt;&gt;""),'Flight Log'!$F:$F)</f>
        <v/>
      </c>
      <c r="L3" s="76">
        <f>LOOKUP(2,1/('Flight Log'!$G:$G&lt;&gt;""),'Flight Log'!$G:$G)</f>
        <v/>
      </c>
      <c r="M3" s="72" t="n"/>
    </row>
    <row r="4">
      <c r="A4" s="71" t="inlineStr">
        <is>
          <t>Manufacture Date (Y)</t>
        </is>
      </c>
      <c r="B4" s="72" t="n"/>
      <c r="C4" s="72" t="n"/>
      <c r="D4" s="71" t="n">
        <v>1988</v>
      </c>
      <c r="E4" s="72" t="n"/>
      <c r="F4" s="72" t="n"/>
      <c r="G4" s="105" t="n"/>
      <c r="H4" s="105" t="n"/>
      <c r="I4" s="105" t="n"/>
      <c r="J4" s="108" t="n"/>
      <c r="K4" s="108" t="n"/>
      <c r="L4" s="76" t="n"/>
      <c r="M4" s="72" t="n"/>
    </row>
    <row r="5">
      <c r="A5" s="67" t="inlineStr">
        <is>
          <t>Airworthiness Directives</t>
        </is>
      </c>
      <c r="B5" s="109" t="n"/>
      <c r="C5" s="109" t="n"/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10" t="n"/>
    </row>
    <row r="6">
      <c r="A6" s="90" t="inlineStr">
        <is>
          <t>Aircraft</t>
        </is>
      </c>
      <c r="B6" s="109" t="n"/>
      <c r="C6" s="109" t="n"/>
      <c r="D6" s="109" t="n"/>
      <c r="E6" s="109" t="n"/>
      <c r="F6" s="109" t="n"/>
      <c r="G6" s="109" t="n"/>
      <c r="H6" s="109" t="n"/>
      <c r="I6" s="109" t="n"/>
      <c r="J6" s="109" t="n"/>
      <c r="K6" s="109" t="n"/>
      <c r="L6" s="109" t="n"/>
      <c r="M6" s="110" t="n"/>
    </row>
    <row r="7">
      <c r="A7" s="82" t="n"/>
      <c r="B7" s="82" t="n"/>
      <c r="C7" s="82" t="n"/>
      <c r="D7" s="82" t="inlineStr">
        <is>
          <t>Interval /TBO</t>
        </is>
      </c>
      <c r="E7" s="109" t="n"/>
      <c r="F7" s="110" t="n"/>
      <c r="G7" s="113" t="inlineStr">
        <is>
          <t>Interval FH/ CyC/Ldgs</t>
        </is>
      </c>
      <c r="H7" s="109" t="n"/>
      <c r="I7" s="110" t="n"/>
      <c r="J7" s="114" t="inlineStr">
        <is>
          <t>Calendar</t>
        </is>
      </c>
      <c r="K7" s="109" t="n"/>
      <c r="L7" s="110" t="n"/>
      <c r="M7" s="82" t="inlineStr">
        <is>
          <t>Applicable ICA reference</t>
        </is>
      </c>
    </row>
    <row r="8">
      <c r="A8" s="79" t="inlineStr">
        <is>
          <t>AD Number</t>
        </is>
      </c>
      <c r="B8" s="79" t="inlineStr">
        <is>
          <t>NAA</t>
        </is>
      </c>
      <c r="C8" s="79" t="inlineStr">
        <is>
          <t>Subject</t>
        </is>
      </c>
      <c r="D8" s="91" t="inlineStr">
        <is>
          <t>FH</t>
        </is>
      </c>
      <c r="E8" s="91" t="inlineStr">
        <is>
          <t>Ldg/Cycle</t>
        </is>
      </c>
      <c r="F8" s="91" t="inlineStr">
        <is>
          <t>days</t>
        </is>
      </c>
      <c r="G8" s="115" t="inlineStr">
        <is>
          <t>Performed</t>
        </is>
      </c>
      <c r="H8" s="116" t="inlineStr">
        <is>
          <t>Next due</t>
        </is>
      </c>
      <c r="I8" s="117" t="inlineStr">
        <is>
          <t>to go</t>
        </is>
      </c>
      <c r="J8" s="118" t="inlineStr">
        <is>
          <t>Performed</t>
        </is>
      </c>
      <c r="K8" s="119" t="inlineStr">
        <is>
          <t>Next due</t>
        </is>
      </c>
      <c r="L8" s="97" t="inlineStr">
        <is>
          <t>to go</t>
        </is>
      </c>
      <c r="M8" s="86" t="inlineStr">
        <is>
          <t>Remarks</t>
        </is>
      </c>
    </row>
    <row r="9">
      <c r="A9" s="87" t="inlineStr">
        <is>
          <t>EASA 2007-0034</t>
        </is>
      </c>
      <c r="B9" s="87" t="inlineStr">
        <is>
          <t>EASA</t>
        </is>
      </c>
      <c r="C9" s="87" t="inlineStr">
        <is>
          <t>Time Limits - engine and NLG mounts</t>
        </is>
      </c>
      <c r="D9" s="86" t="n"/>
      <c r="E9" s="86" t="n"/>
      <c r="F9" s="86" t="n"/>
      <c r="G9" s="106" t="n"/>
      <c r="H9" s="106" t="n"/>
      <c r="I9" s="106" t="n"/>
      <c r="J9" s="107" t="n"/>
      <c r="K9" s="107" t="n"/>
      <c r="L9" s="77" t="n"/>
      <c r="M9" s="87" t="inlineStr">
        <is>
          <t>Applicable. Introduces 10000 FH life limit; controlled in Life Limit/ALI.</t>
        </is>
      </c>
    </row>
    <row r="10">
      <c r="A10" s="87" t="inlineStr">
        <is>
          <t>EASA 2007-0101</t>
        </is>
      </c>
      <c r="B10" s="87" t="inlineStr">
        <is>
          <t>EASA</t>
        </is>
      </c>
      <c r="C10" s="87" t="inlineStr">
        <is>
          <t>Cabin access door hooks</t>
        </is>
      </c>
      <c r="D10" s="86" t="n">
        <v>110</v>
      </c>
      <c r="E10" s="86" t="n"/>
      <c r="F10" s="86" t="n"/>
      <c r="G10" s="106" t="n">
        <v>2080</v>
      </c>
      <c r="H10" s="106">
        <f>IF(AND(D10&lt;&gt;"",G10&lt;&gt;""),G10+D10,IF(AND(E10&lt;&gt;"",G10&lt;&gt;""),G10+E10,""))</f>
        <v/>
      </c>
      <c r="I10" s="106">
        <f>IF(H10="","",H10-IF(D10&lt;&gt;"",$J$3,$L$3))</f>
        <v/>
      </c>
      <c r="J10" s="107" t="n"/>
      <c r="K10" s="107">
        <f>IF(AND(F10&lt;&gt;"",J10&lt;&gt;""),J10+F10,"")</f>
        <v/>
      </c>
      <c r="L10" s="77">
        <f>IF(K10="","",K10-$I$3)</f>
        <v/>
      </c>
      <c r="M10" s="87" t="inlineStr">
        <is>
          <t>Uncertain: applies if aluminium/AU4G cabin access door hooks installed. Repetitive until terminating action.</t>
        </is>
      </c>
    </row>
    <row r="11">
      <c r="A11" s="86" t="inlineStr">
        <is>
          <t>EASA 2015-0130</t>
        </is>
      </c>
      <c r="B11" s="86" t="inlineStr">
        <is>
          <t>EASA</t>
        </is>
      </c>
      <c r="C11" s="86" t="inlineStr">
        <is>
          <t>Horizontal stabilizer spar inspection</t>
        </is>
      </c>
      <c r="D11" s="86" t="n"/>
      <c r="E11" s="86" t="n"/>
      <c r="F11" s="86" t="n">
        <v>2190</v>
      </c>
      <c r="G11" s="106" t="n"/>
      <c r="H11" s="106">
        <f>IF(AND(D11&lt;&gt;"",G11&lt;&gt;""),G11+D11,IF(AND(E11&lt;&gt;"",G11&lt;&gt;""),G11+E11,""))</f>
        <v/>
      </c>
      <c r="I11" s="106">
        <f>IF(H11="","",H11-IF(D11&lt;&gt;"",$J$3,$L$3))</f>
        <v/>
      </c>
      <c r="J11" s="107" t="n">
        <v>45413</v>
      </c>
      <c r="K11" s="107">
        <f>IF(AND(F11&lt;&gt;"",J11&lt;&gt;""),J11+F11,"")</f>
        <v/>
      </c>
      <c r="L11" s="77">
        <f>IF(K11="","",K11-$I$3)</f>
        <v/>
      </c>
      <c r="M11" s="86" t="inlineStr">
        <is>
          <t>Applicable to all TB10 S/N. Repetitive 72 months.</t>
        </is>
      </c>
    </row>
    <row r="12">
      <c r="A12" s="86" t="inlineStr">
        <is>
          <t>EASA 2018-0030R1</t>
        </is>
      </c>
      <c r="B12" s="86" t="inlineStr">
        <is>
          <t>EASA</t>
        </is>
      </c>
      <c r="C12" s="86" t="inlineStr">
        <is>
          <t>Wing front attachments inspection/modification</t>
        </is>
      </c>
      <c r="D12" s="86" t="n">
        <v>2000</v>
      </c>
      <c r="E12" s="86" t="n">
        <v>3000</v>
      </c>
      <c r="F12" s="86" t="n"/>
      <c r="G12" s="106" t="n">
        <v>2000</v>
      </c>
      <c r="H12" s="106">
        <f>IF(AND(D12&lt;&gt;"",G12&lt;&gt;""),G12+D12,IF(AND(E12&lt;&gt;"",G12&lt;&gt;""),G12+E12,""))</f>
        <v/>
      </c>
      <c r="I12" s="106">
        <f>IF(H12="","",H12-IF(D12&lt;&gt;"",$J$3,$L$3))</f>
        <v/>
      </c>
      <c r="J12" s="107" t="n"/>
      <c r="K12" s="107">
        <f>IF(AND(F12&lt;&gt;"",J12&lt;&gt;""),J12+F12,"")</f>
        <v/>
      </c>
      <c r="L12" s="77">
        <f>IF(K12="","",K12-$I$3)</f>
        <v/>
      </c>
      <c r="M12" s="86" t="inlineStr">
        <is>
          <t>Applicable Group 1: TB10 MSN 001-803 includes S/N 649. Repetitive 2000 FH/3000 LDG; other actions per AD.</t>
        </is>
      </c>
    </row>
    <row r="13">
      <c r="A13" s="86" t="inlineStr">
        <is>
          <t>EASA 2025-0160</t>
        </is>
      </c>
      <c r="B13" s="86" t="inlineStr">
        <is>
          <t>EASA</t>
        </is>
      </c>
      <c r="C13" s="86" t="inlineStr">
        <is>
          <t>Lower rudder hinge fitting inspection</t>
        </is>
      </c>
      <c r="D13" s="86" t="n"/>
      <c r="E13" s="86" t="n"/>
      <c r="F13" s="86" t="n">
        <v>365</v>
      </c>
      <c r="G13" s="106" t="n"/>
      <c r="H13" s="106">
        <f>IF(AND(D13&lt;&gt;"",G13&lt;&gt;""),G13+D13,IF(AND(E13&lt;&gt;"",G13&lt;&gt;""),G13+E13,""))</f>
        <v/>
      </c>
      <c r="I13" s="106">
        <f>IF(H13="","",H13-IF(D13&lt;&gt;"",$J$3,$L$3))</f>
        <v/>
      </c>
      <c r="J13" s="107" t="n">
        <v>45870</v>
      </c>
      <c r="K13" s="107">
        <f>IF(AND(F13&lt;&gt;"",J13&lt;&gt;""),J13+F13,"")</f>
        <v/>
      </c>
      <c r="L13" s="77">
        <f>IF(K13="","",K13-$I$3)</f>
        <v/>
      </c>
      <c r="M13" s="86" t="inlineStr">
        <is>
          <t>Applicable to all TB10 S/N. Repetitive 12 months.</t>
        </is>
      </c>
    </row>
    <row r="14">
      <c r="A14" s="86" t="inlineStr">
        <is>
          <t>DGAC F-1992-206R3</t>
        </is>
      </c>
      <c r="B14" s="86" t="inlineStr">
        <is>
          <t>DGAC</t>
        </is>
      </c>
      <c r="C14" s="86" t="inlineStr">
        <is>
          <t>Exhaust system</t>
        </is>
      </c>
      <c r="D14" s="86" t="n"/>
      <c r="E14" s="86" t="n"/>
      <c r="F14" s="86" t="n"/>
      <c r="G14" s="106" t="n"/>
      <c r="H14" s="106" t="n"/>
      <c r="I14" s="106" t="n"/>
      <c r="J14" s="107" t="n"/>
      <c r="K14" s="107" t="n"/>
      <c r="L14" s="77" t="n"/>
      <c r="M14" s="86" t="inlineStr">
        <is>
          <t>Applicable by S/N 1-1191; no repetitive requirement identified.</t>
        </is>
      </c>
    </row>
    <row r="15">
      <c r="A15" s="86" t="inlineStr">
        <is>
          <t>DGAC F-1994-264R1</t>
        </is>
      </c>
      <c r="B15" s="86" t="inlineStr">
        <is>
          <t>DGAC</t>
        </is>
      </c>
      <c r="C15" s="86" t="inlineStr">
        <is>
          <t>Wing front attachments</t>
        </is>
      </c>
      <c r="D15" s="86" t="n"/>
      <c r="E15" s="86" t="n"/>
      <c r="F15" s="86" t="n"/>
      <c r="G15" s="106" t="n"/>
      <c r="H15" s="106" t="n"/>
      <c r="I15" s="106" t="n"/>
      <c r="J15" s="107" t="n"/>
      <c r="K15" s="107" t="n"/>
      <c r="L15" s="77" t="n"/>
      <c r="M15" s="86" t="inlineStr">
        <is>
          <t>N/A: superseded by EASA 2018-0030R1.</t>
        </is>
      </c>
    </row>
    <row r="16">
      <c r="A16" s="67" t="inlineStr">
        <is>
          <t>DGAC F-1994-265R4</t>
        </is>
      </c>
      <c r="B16" s="67" t="inlineStr">
        <is>
          <t>DGAC</t>
        </is>
      </c>
      <c r="C16" s="67" t="inlineStr">
        <is>
          <t>Main landing gear support ribs</t>
        </is>
      </c>
      <c r="D16" s="67" t="n">
        <v>1000</v>
      </c>
      <c r="E16" s="67" t="n">
        <v>1500</v>
      </c>
      <c r="F16" s="67" t="n"/>
      <c r="G16" s="103" t="n">
        <v>2000</v>
      </c>
      <c r="H16" s="103">
        <f>IF(AND(D16&lt;&gt;"",G16&lt;&gt;""),G16+D16,IF(AND(E16&lt;&gt;"",G16&lt;&gt;""),G16+E16,""))</f>
        <v/>
      </c>
      <c r="I16" s="103">
        <f>IF(H16="","",H16-IF(D16&lt;&gt;"",$J$3,$L$3))</f>
        <v/>
      </c>
      <c r="J16" s="104" t="n"/>
      <c r="K16" s="104">
        <f>IF(AND(F16&lt;&gt;"",J16&lt;&gt;""),J16+F16,"")</f>
        <v/>
      </c>
      <c r="L16" s="70">
        <f>IF(K16="","",K16-$I$3)</f>
        <v/>
      </c>
      <c r="M16" s="67" t="inlineStr">
        <is>
          <t>Applicable/conditional Case A for TB10 S/N 1-803; repetitive 1000 FH/1500 LDG unless reinforced/kit case applies.</t>
        </is>
      </c>
    </row>
    <row r="17">
      <c r="A17" s="86" t="inlineStr">
        <is>
          <t>DGAC F-1996-143</t>
        </is>
      </c>
      <c r="B17" s="86" t="inlineStr">
        <is>
          <t>DGAC</t>
        </is>
      </c>
      <c r="C17" s="86" t="inlineStr">
        <is>
          <t>Front belt upper attachment</t>
        </is>
      </c>
      <c r="D17" s="86" t="n"/>
      <c r="E17" s="86" t="n"/>
      <c r="F17" s="86" t="n"/>
      <c r="G17" s="106" t="n"/>
      <c r="H17" s="106" t="n"/>
      <c r="I17" s="106" t="n"/>
      <c r="J17" s="107" t="n"/>
      <c r="K17" s="107" t="n"/>
      <c r="L17" s="77" t="n"/>
      <c r="M17" s="86" t="inlineStr">
        <is>
          <t>Uncertain: S/N range includes 649 but depends on upholstering on upper duct posts.</t>
        </is>
      </c>
    </row>
    <row r="18">
      <c r="A18" s="82" t="inlineStr">
        <is>
          <t>DGAC F-1999-062</t>
        </is>
      </c>
      <c r="B18" s="82" t="inlineStr">
        <is>
          <t>DGAC</t>
        </is>
      </c>
      <c r="C18" s="82" t="inlineStr">
        <is>
          <t>Fuel system / 14V fuel gauge placard</t>
        </is>
      </c>
      <c r="D18" s="82" t="n"/>
      <c r="E18" s="82" t="n"/>
      <c r="F18" s="82" t="n"/>
      <c r="G18" s="113" t="n"/>
      <c r="H18" s="113" t="n"/>
      <c r="I18" s="113" t="n"/>
      <c r="J18" s="114" t="n"/>
      <c r="K18" s="114" t="n"/>
      <c r="L18" s="85" t="n"/>
      <c r="M18" s="82" t="inlineStr">
        <is>
          <t>Uncertain: S/N 649 in 14V range; depends on engine control panel amendment D.</t>
        </is>
      </c>
    </row>
    <row r="19">
      <c r="A19" s="86" t="inlineStr">
        <is>
          <t>DGAC F-2001-002</t>
        </is>
      </c>
      <c r="B19" s="86" t="inlineStr">
        <is>
          <t>DGAC</t>
        </is>
      </c>
      <c r="C19" s="86" t="inlineStr">
        <is>
          <t>Rudder bearing</t>
        </is>
      </c>
      <c r="D19" s="86" t="n"/>
      <c r="E19" s="86" t="n"/>
      <c r="F19" s="86" t="n"/>
      <c r="G19" s="106" t="n"/>
      <c r="H19" s="106" t="n"/>
      <c r="I19" s="106" t="n"/>
      <c r="J19" s="107" t="n"/>
      <c r="K19" s="107" t="n"/>
      <c r="L19" s="77" t="n"/>
      <c r="M19" s="86" t="inlineStr">
        <is>
          <t>N/A: superseded by EASA 2025-0160.</t>
        </is>
      </c>
    </row>
    <row r="20">
      <c r="A20" s="86" t="inlineStr">
        <is>
          <t>DGAC F-2001-005</t>
        </is>
      </c>
      <c r="B20" s="86" t="inlineStr">
        <is>
          <t>DGAC</t>
        </is>
      </c>
      <c r="C20" s="86" t="inlineStr">
        <is>
          <t>Seat unlocking</t>
        </is>
      </c>
      <c r="D20" s="86" t="n"/>
      <c r="E20" s="86" t="n"/>
      <c r="F20" s="86" t="n"/>
      <c r="G20" s="106" t="n"/>
      <c r="H20" s="106" t="n"/>
      <c r="I20" s="106" t="n"/>
      <c r="J20" s="107" t="n"/>
      <c r="K20" s="107" t="n"/>
      <c r="L20" s="77" t="n"/>
      <c r="M20" s="86" t="inlineStr">
        <is>
          <t>Uncertain: applies unless MOD 165 embodied in production.</t>
        </is>
      </c>
    </row>
    <row r="21" ht="15.75" customHeight="1" s="48">
      <c r="A21" s="86" t="inlineStr">
        <is>
          <t>DGAC F-2001-305</t>
        </is>
      </c>
      <c r="B21" s="86" t="inlineStr">
        <is>
          <t>DGAC</t>
        </is>
      </c>
      <c r="C21" s="86" t="inlineStr">
        <is>
          <t>Nose gear fork spare part</t>
        </is>
      </c>
      <c r="D21" s="86" t="n"/>
      <c r="E21" s="86" t="n"/>
      <c r="F21" s="86" t="n"/>
      <c r="G21" s="106" t="n"/>
      <c r="H21" s="106" t="n"/>
      <c r="I21" s="106" t="n"/>
      <c r="J21" s="107" t="n"/>
      <c r="K21" s="107" t="n"/>
      <c r="L21" s="77" t="n"/>
      <c r="M21" s="86" t="inlineStr">
        <is>
          <t>Uncertain: only if affected spare fork installed.</t>
        </is>
      </c>
    </row>
    <row r="22" ht="15.75" customHeight="1" s="48">
      <c r="A22" s="72" t="inlineStr">
        <is>
          <t>DGAC F-2001-306</t>
        </is>
      </c>
      <c r="B22" s="72" t="inlineStr">
        <is>
          <t>DGAC</t>
        </is>
      </c>
      <c r="C22" s="72" t="inlineStr">
        <is>
          <t>Nose gear fork / affected spare part</t>
        </is>
      </c>
      <c r="D22" s="72" t="n"/>
      <c r="E22" s="72" t="n"/>
      <c r="F22" s="72" t="n"/>
      <c r="G22" s="105" t="n"/>
      <c r="H22" s="105" t="n"/>
      <c r="I22" s="105" t="n"/>
      <c r="J22" s="108" t="n"/>
      <c r="K22" s="108" t="n"/>
      <c r="L22" s="76" t="n"/>
      <c r="M22" s="72" t="inlineStr">
        <is>
          <t>Uncertain: only if affected spare nose gear fork installed; no repetitive interval identified.</t>
        </is>
      </c>
    </row>
    <row r="23" ht="15.75" customHeight="1" s="48">
      <c r="A23" s="72" t="inlineStr">
        <is>
          <t>DGAC F-2001-446R1</t>
        </is>
      </c>
      <c r="B23" s="72" t="inlineStr">
        <is>
          <t>DGAC</t>
        </is>
      </c>
      <c r="C23" s="72" t="inlineStr">
        <is>
          <t>Ammeter circuit option</t>
        </is>
      </c>
      <c r="D23" s="72" t="n"/>
      <c r="E23" s="72" t="n"/>
      <c r="F23" s="72" t="n"/>
      <c r="G23" s="105" t="n"/>
      <c r="H23" s="105" t="n"/>
      <c r="I23" s="105" t="n"/>
      <c r="J23" s="108" t="n"/>
      <c r="K23" s="108" t="n"/>
      <c r="L23" s="76" t="n"/>
      <c r="M23" s="72" t="inlineStr">
        <is>
          <t>Uncertain: depends on ammeter option OPT 10 593/689/D689 installed.</t>
        </is>
      </c>
    </row>
    <row r="24" ht="15.75" customHeight="1" s="48">
      <c r="A24" s="72" t="inlineStr">
        <is>
          <t>DGAC F-2003-368R2</t>
        </is>
      </c>
      <c r="B24" s="72" t="inlineStr">
        <is>
          <t>DGAC</t>
        </is>
      </c>
      <c r="C24" s="72" t="inlineStr">
        <is>
          <t>Aileron/elevator gimbal joints</t>
        </is>
      </c>
      <c r="D24" s="72" t="n">
        <v>110</v>
      </c>
      <c r="E24" s="72" t="n"/>
      <c r="F24" s="72" t="n">
        <v>420</v>
      </c>
      <c r="G24" s="105" t="n">
        <v>2080</v>
      </c>
      <c r="H24" s="105">
        <f>IF(AND(D24&lt;&gt;"",G24&lt;&gt;""),G24+D24,IF(AND(E24&lt;&gt;"",G24&lt;&gt;""),G24+E24,""))</f>
        <v/>
      </c>
      <c r="I24" s="105">
        <f>IF(H24="","",H24-IF(D24&lt;&gt;"",$J$3,$L$3))</f>
        <v/>
      </c>
      <c r="J24" s="108" t="n">
        <v>46037</v>
      </c>
      <c r="K24" s="108">
        <f>IF(AND(F24&lt;&gt;"",J24&lt;&gt;""),J24+F24,"")</f>
        <v/>
      </c>
      <c r="L24" s="76">
        <f>IF(K24="","",K24-$I$3)</f>
        <v/>
      </c>
      <c r="M24" s="72" t="inlineStr">
        <is>
          <t>Uncertain: applies unless MOD 10-0209-27 or terminating SB action embodied; repetitive 110 FH/14 months.</t>
        </is>
      </c>
    </row>
    <row r="25" ht="15.75" customHeight="1" s="48">
      <c r="A25" s="72" t="n"/>
      <c r="B25" s="72" t="n"/>
      <c r="C25" s="72" t="n"/>
      <c r="D25" s="72" t="n"/>
      <c r="E25" s="72" t="n"/>
      <c r="F25" s="72" t="n"/>
      <c r="G25" s="105" t="n"/>
      <c r="H25" s="105" t="n"/>
      <c r="I25" s="105" t="n"/>
      <c r="J25" s="108" t="n"/>
      <c r="K25" s="108" t="n"/>
      <c r="L25" s="76" t="n"/>
      <c r="M25" s="72" t="n"/>
    </row>
    <row r="26" ht="15.75" customHeight="1" s="48">
      <c r="A26" s="98" t="inlineStr">
        <is>
          <t>Engine</t>
        </is>
      </c>
      <c r="B26" s="72" t="n"/>
      <c r="C26" s="72" t="n"/>
      <c r="D26" s="72" t="n"/>
      <c r="E26" s="72" t="n"/>
      <c r="F26" s="72" t="n"/>
      <c r="G26" s="105" t="n"/>
      <c r="H26" s="105" t="n"/>
      <c r="I26" s="105" t="n"/>
      <c r="J26" s="108" t="n"/>
      <c r="K26" s="108" t="n"/>
      <c r="L26" s="76" t="n"/>
      <c r="M26" s="72" t="n"/>
    </row>
    <row r="27" ht="15.75" customHeight="1" s="48">
      <c r="A27" s="79" t="n"/>
      <c r="B27" s="79" t="n"/>
      <c r="C27" s="79" t="n"/>
      <c r="D27" s="79" t="inlineStr">
        <is>
          <t>Interval /TBO</t>
        </is>
      </c>
      <c r="E27" s="72" t="n"/>
      <c r="F27" s="72" t="n"/>
      <c r="G27" s="111" t="inlineStr">
        <is>
          <t>Interval FH/ CyC/Ldgs</t>
        </is>
      </c>
      <c r="H27" s="105" t="n"/>
      <c r="I27" s="105" t="n"/>
      <c r="J27" s="112" t="inlineStr">
        <is>
          <t>Calendar</t>
        </is>
      </c>
      <c r="K27" s="108" t="n"/>
      <c r="L27" s="76" t="n"/>
      <c r="M27" s="79" t="inlineStr">
        <is>
          <t>Applicable ICA reference</t>
        </is>
      </c>
    </row>
    <row r="28" ht="15.75" customHeight="1" s="48">
      <c r="A28" s="79" t="inlineStr">
        <is>
          <t>AD Number</t>
        </is>
      </c>
      <c r="B28" s="79" t="inlineStr">
        <is>
          <t>NAA</t>
        </is>
      </c>
      <c r="C28" s="79" t="inlineStr">
        <is>
          <t>Subject</t>
        </is>
      </c>
      <c r="D28" s="91" t="inlineStr">
        <is>
          <t>FH</t>
        </is>
      </c>
      <c r="E28" s="91" t="inlineStr">
        <is>
          <t>Ldg/Cycle</t>
        </is>
      </c>
      <c r="F28" s="91" t="inlineStr">
        <is>
          <t>days</t>
        </is>
      </c>
      <c r="G28" s="115" t="inlineStr">
        <is>
          <t>Performed</t>
        </is>
      </c>
      <c r="H28" s="116" t="inlineStr">
        <is>
          <t>Next due</t>
        </is>
      </c>
      <c r="I28" s="117" t="inlineStr">
        <is>
          <t>to go</t>
        </is>
      </c>
      <c r="J28" s="118" t="inlineStr">
        <is>
          <t>Performed</t>
        </is>
      </c>
      <c r="K28" s="119" t="inlineStr">
        <is>
          <t>Next due</t>
        </is>
      </c>
      <c r="L28" s="97" t="inlineStr">
        <is>
          <t>to go</t>
        </is>
      </c>
      <c r="M28" s="86" t="inlineStr">
        <is>
          <t>Remarks</t>
        </is>
      </c>
    </row>
    <row r="29" ht="15.75" customHeight="1" s="48">
      <c r="A29" s="82" t="inlineStr">
        <is>
          <t>EASA 2005-0023R3</t>
        </is>
      </c>
      <c r="B29" s="82" t="inlineStr">
        <is>
          <t>EASA</t>
        </is>
      </c>
      <c r="C29" s="82" t="inlineStr">
        <is>
          <t>Exhaust valve and guide inspection</t>
        </is>
      </c>
      <c r="D29" s="82" t="n">
        <v>440</v>
      </c>
      <c r="E29" s="82" t="n"/>
      <c r="F29" s="82" t="n"/>
      <c r="G29" s="113" t="n">
        <v>2000</v>
      </c>
      <c r="H29" s="113">
        <f>IF(AND(D29&lt;&gt;"",G29&lt;&gt;""),G29+D29,IF(AND(E29&lt;&gt;"",G29&lt;&gt;""),G29+E29,""))</f>
        <v/>
      </c>
      <c r="I29" s="113">
        <f>IF(H29="","",H29-IF(D29&lt;&gt;"",$J$3,$L$3))</f>
        <v/>
      </c>
      <c r="J29" s="114" t="n"/>
      <c r="K29" s="114">
        <f>IF(AND(F29&lt;&gt;"",J29&lt;&gt;""),J29+F29,"")</f>
        <v/>
      </c>
      <c r="L29" s="85">
        <f>IF(K29="","",K29-$I$3)</f>
        <v/>
      </c>
      <c r="M29" s="82" t="inlineStr">
        <is>
          <t>Applicable: all Lycoming piston engines; repetitive if no Hi-Chrome guides.</t>
        </is>
      </c>
    </row>
    <row r="30" ht="15.75" customHeight="1" s="48">
      <c r="A30" s="87" t="inlineStr">
        <is>
          <t>EASA 2024-0111</t>
        </is>
      </c>
      <c r="B30" s="87" t="inlineStr">
        <is>
          <t>EASA</t>
        </is>
      </c>
      <c r="C30" s="87" t="inlineStr">
        <is>
          <t>Reciprocating engine inspection</t>
        </is>
      </c>
      <c r="D30" s="86" t="n"/>
      <c r="E30" s="86" t="n"/>
      <c r="F30" s="86" t="n"/>
      <c r="G30" s="106" t="n"/>
      <c r="H30" s="106" t="n"/>
      <c r="I30" s="106" t="n"/>
      <c r="J30" s="107" t="n"/>
      <c r="K30" s="107" t="n"/>
      <c r="L30" s="77" t="n"/>
      <c r="M30" s="87" t="inlineStr">
        <is>
          <t>Uncertain: depends on manufacture/overhaul date and TCCA AD CF-2005-40 criteria.</t>
        </is>
      </c>
    </row>
    <row r="31" ht="15.75" customHeight="1" s="48">
      <c r="A31" s="72" t="inlineStr">
        <is>
          <t>FAA 2002-12-07</t>
        </is>
      </c>
      <c r="B31" s="72" t="inlineStr">
        <is>
          <t>FAA</t>
        </is>
      </c>
      <c r="C31" s="72" t="inlineStr">
        <is>
          <t>Oil filter converter plate gasket</t>
        </is>
      </c>
      <c r="D31" s="72" t="n">
        <v>50</v>
      </c>
      <c r="E31" s="72" t="n"/>
      <c r="F31" s="72" t="n"/>
      <c r="G31" s="105" t="n">
        <v>2080</v>
      </c>
      <c r="H31" s="105">
        <f>IF(AND(D31&lt;&gt;"",G31&lt;&gt;""),G31+D31,IF(AND(E31&lt;&gt;"",G31&lt;&gt;""),G31+E31,""))</f>
        <v/>
      </c>
      <c r="I31" s="105">
        <f>IF(H31="","",H31-IF(D31&lt;&gt;"",$J$3,$L$3))</f>
        <v/>
      </c>
      <c r="J31" s="108" t="n"/>
      <c r="K31" s="108">
        <f>IF(AND(F31&lt;&gt;"",J31&lt;&gt;""),J31+F31,"")</f>
        <v/>
      </c>
      <c r="L31" s="76">
        <f>IF(K31="","",K31-$I$3)</f>
        <v/>
      </c>
      <c r="M31" s="72" t="inlineStr">
        <is>
          <t>Uncertain: O-360-A1AD listed; applies by shipping date or affected gasket/kit until terminating action.</t>
        </is>
      </c>
    </row>
    <row r="32" ht="15.75" customHeight="1" s="48">
      <c r="A32" s="72" t="inlineStr">
        <is>
          <t>FAA 2004-10-14</t>
        </is>
      </c>
      <c r="B32" s="72" t="inlineStr">
        <is>
          <t>FAA</t>
        </is>
      </c>
      <c r="C32" s="72" t="inlineStr">
        <is>
          <t>Crankshaft gear retaining bolt</t>
        </is>
      </c>
      <c r="D32" s="72" t="n"/>
      <c r="E32" s="72" t="n"/>
      <c r="F32" s="72" t="n"/>
      <c r="G32" s="105" t="n"/>
      <c r="H32" s="105" t="n"/>
      <c r="I32" s="105" t="n"/>
      <c r="J32" s="108" t="n"/>
      <c r="K32" s="108" t="n"/>
      <c r="L32" s="76" t="n"/>
      <c r="M32" s="72" t="inlineStr">
        <is>
          <t>Applicable only after propeller strike event; not repetitive.</t>
        </is>
      </c>
    </row>
    <row r="33" ht="15.75" customHeight="1" s="48">
      <c r="A33" s="72" t="inlineStr">
        <is>
          <t>FAA 2005-19-11</t>
        </is>
      </c>
      <c r="B33" s="72" t="inlineStr">
        <is>
          <t>FAA</t>
        </is>
      </c>
      <c r="C33" s="72" t="inlineStr">
        <is>
          <t>Crankshaft replacement</t>
        </is>
      </c>
      <c r="D33" s="72" t="n"/>
      <c r="E33" s="72" t="n"/>
      <c r="F33" s="72" t="n"/>
      <c r="G33" s="105" t="n"/>
      <c r="H33" s="105" t="n"/>
      <c r="I33" s="105" t="n"/>
      <c r="J33" s="108" t="n"/>
      <c r="K33" s="108" t="n"/>
      <c r="L33" s="76" t="n"/>
      <c r="M33" s="72" t="inlineStr">
        <is>
          <t>Uncertain: depends on manufacture/rebuild/overhaul date or crankshaft installation.</t>
        </is>
      </c>
    </row>
    <row r="34" ht="15.75" customHeight="1" s="48">
      <c r="A34" s="72" t="inlineStr">
        <is>
          <t>FAA 2005-26-10</t>
        </is>
      </c>
      <c r="B34" s="72" t="inlineStr">
        <is>
          <t>FAA</t>
        </is>
      </c>
      <c r="C34" s="72" t="inlineStr">
        <is>
          <t>ECi Classic Cast cylinders</t>
        </is>
      </c>
      <c r="D34" s="72" t="n"/>
      <c r="E34" s="72" t="n"/>
      <c r="F34" s="72" t="n"/>
      <c r="G34" s="105" t="n"/>
      <c r="H34" s="105" t="n"/>
      <c r="I34" s="105" t="n"/>
      <c r="J34" s="108" t="n"/>
      <c r="K34" s="108" t="n"/>
      <c r="L34" s="76" t="n"/>
      <c r="M34" s="72" t="inlineStr">
        <is>
          <t>Uncertain: depends on affected ECi cylinders installed.</t>
        </is>
      </c>
    </row>
    <row r="35" ht="15.75" customHeight="1" s="48">
      <c r="A35" s="72" t="inlineStr">
        <is>
          <t>FAA 2006-10-21</t>
        </is>
      </c>
      <c r="B35" s="72" t="inlineStr">
        <is>
          <t>FAA</t>
        </is>
      </c>
      <c r="C35" s="72" t="inlineStr">
        <is>
          <t>ECi connecting rods</t>
        </is>
      </c>
      <c r="D35" s="72" t="n"/>
      <c r="E35" s="72" t="n"/>
      <c r="F35" s="72" t="n"/>
      <c r="G35" s="105" t="n"/>
      <c r="H35" s="105" t="n"/>
      <c r="I35" s="105" t="n"/>
      <c r="J35" s="108" t="n"/>
      <c r="K35" s="108" t="n"/>
      <c r="L35" s="76" t="n"/>
      <c r="M35" s="72" t="inlineStr">
        <is>
          <t>Uncertain: depends on affected ECi connecting rods installed.</t>
        </is>
      </c>
    </row>
    <row r="36" ht="15.75" customHeight="1" s="48">
      <c r="A36" s="67" t="inlineStr">
        <is>
          <t>FAA 2006-12-07</t>
        </is>
      </c>
      <c r="B36" s="67" t="inlineStr">
        <is>
          <t>FAA</t>
        </is>
      </c>
      <c r="C36" s="67" t="inlineStr">
        <is>
          <t>ECi Classic Cast cylinders</t>
        </is>
      </c>
      <c r="D36" s="67" t="n"/>
      <c r="E36" s="67" t="n"/>
      <c r="F36" s="67" t="n"/>
      <c r="G36" s="103" t="n"/>
      <c r="H36" s="103" t="n"/>
      <c r="I36" s="103" t="n"/>
      <c r="J36" s="104" t="n"/>
      <c r="K36" s="104" t="n"/>
      <c r="L36" s="70" t="n"/>
      <c r="M36" s="67" t="inlineStr">
        <is>
          <t>Uncertain: depends on affected ECi cylinders installed.</t>
        </is>
      </c>
    </row>
    <row r="37" ht="15.75" customHeight="1" s="48">
      <c r="A37" s="72" t="inlineStr">
        <is>
          <t>FAA 2006-20-09</t>
        </is>
      </c>
      <c r="B37" s="72" t="inlineStr">
        <is>
          <t>FAA</t>
        </is>
      </c>
      <c r="C37" s="72" t="inlineStr">
        <is>
          <t>Crankshaft replacement</t>
        </is>
      </c>
      <c r="D37" s="72" t="n"/>
      <c r="E37" s="72" t="n"/>
      <c r="F37" s="72" t="n"/>
      <c r="G37" s="105" t="n"/>
      <c r="H37" s="105" t="n"/>
      <c r="I37" s="105" t="n"/>
      <c r="J37" s="108" t="n"/>
      <c r="K37" s="108" t="n"/>
      <c r="L37" s="76" t="n"/>
      <c r="M37" s="72" t="inlineStr">
        <is>
          <t>Uncertain/superseded logic: depends on MSB listed engine/crankshaft S/N; see FAA 2012-19-01.</t>
        </is>
      </c>
    </row>
    <row r="38" ht="15.75" customHeight="1" s="48">
      <c r="A38" s="82" t="inlineStr">
        <is>
          <t>FAA 2007-04-19R1</t>
        </is>
      </c>
      <c r="B38" s="82" t="inlineStr">
        <is>
          <t>FAA</t>
        </is>
      </c>
      <c r="C38" s="82" t="inlineStr">
        <is>
          <t>Superior Air Parts cylinders</t>
        </is>
      </c>
      <c r="D38" s="82" t="n"/>
      <c r="E38" s="82" t="n"/>
      <c r="F38" s="82" t="n"/>
      <c r="G38" s="113" t="n"/>
      <c r="H38" s="113" t="n"/>
      <c r="I38" s="113" t="n"/>
      <c r="J38" s="114" t="n"/>
      <c r="K38" s="114" t="n"/>
      <c r="L38" s="85" t="n"/>
      <c r="M38" s="82" t="inlineStr">
        <is>
          <t>Uncertain: depends on affected SAP cylinders installed.</t>
        </is>
      </c>
    </row>
    <row r="39" ht="15.75" customHeight="1" s="48">
      <c r="A39" s="72" t="inlineStr">
        <is>
          <t>FAA 2008-19-05</t>
        </is>
      </c>
      <c r="B39" s="72" t="inlineStr">
        <is>
          <t>FAA</t>
        </is>
      </c>
      <c r="C39" s="72" t="inlineStr">
        <is>
          <t>ECi Titan cylinders</t>
        </is>
      </c>
      <c r="D39" s="72" t="n">
        <v>50</v>
      </c>
      <c r="E39" s="72" t="n"/>
      <c r="F39" s="72" t="n"/>
      <c r="G39" s="105" t="n">
        <v>2080</v>
      </c>
      <c r="H39" s="105">
        <f>IF(AND(D39&lt;&gt;"",G39&lt;&gt;""),G39+D39,IF(AND(E39&lt;&gt;"",G39&lt;&gt;""),G39+E39,""))</f>
        <v/>
      </c>
      <c r="I39" s="105">
        <f>IF(H39="","",H39-IF(D39&lt;&gt;"",$J$3,$L$3))</f>
        <v/>
      </c>
      <c r="J39" s="108" t="n"/>
      <c r="K39" s="108">
        <f>IF(AND(F39&lt;&gt;"",J39&lt;&gt;""),J39+F39,"")</f>
        <v/>
      </c>
      <c r="L39" s="76">
        <f>IF(K39="","",K39-$I$3)</f>
        <v/>
      </c>
      <c r="M39" s="72" t="inlineStr">
        <is>
          <t>Uncertain: O-360-A1AD listed; repetitive if affected ECi Titan cylinders installed.</t>
        </is>
      </c>
    </row>
    <row r="40" ht="15.75" customHeight="1" s="48">
      <c r="A40" s="72" t="inlineStr">
        <is>
          <t>FAA 2009-26-12</t>
        </is>
      </c>
      <c r="B40" s="72" t="inlineStr">
        <is>
          <t>FAA</t>
        </is>
      </c>
      <c r="C40" s="72" t="inlineStr">
        <is>
          <t>ECi Titan cylinders</t>
        </is>
      </c>
      <c r="D40" s="72" t="n">
        <v>50</v>
      </c>
      <c r="E40" s="72" t="n"/>
      <c r="F40" s="72" t="n"/>
      <c r="G40" s="105" t="n">
        <v>2080</v>
      </c>
      <c r="H40" s="105">
        <f>IF(AND(D40&lt;&gt;"",G40&lt;&gt;""),G40+D40,IF(AND(E40&lt;&gt;"",G40&lt;&gt;""),G40+E40,""))</f>
        <v/>
      </c>
      <c r="I40" s="105">
        <f>IF(H40="","",H40-IF(D40&lt;&gt;"",$J$3,$L$3))</f>
        <v/>
      </c>
      <c r="J40" s="108" t="n"/>
      <c r="K40" s="108">
        <f>IF(AND(F40&lt;&gt;"",J40&lt;&gt;""),J40+F40,"")</f>
        <v/>
      </c>
      <c r="L40" s="76">
        <f>IF(K40="","",K40-$I$3)</f>
        <v/>
      </c>
      <c r="M40" s="72" t="inlineStr">
        <is>
          <t>Uncertain: O-360-A1AD listed; repetitive if affected ECi Titan cylinders installed.</t>
        </is>
      </c>
    </row>
    <row r="41" ht="15.75" customHeight="1" s="48">
      <c r="A41" s="72" t="inlineStr">
        <is>
          <t>FAA 2010-07-08</t>
        </is>
      </c>
      <c r="B41" s="72" t="inlineStr">
        <is>
          <t>FAA</t>
        </is>
      </c>
      <c r="C41" s="72" t="inlineStr">
        <is>
          <t>KAES rebuilt turbochargers</t>
        </is>
      </c>
      <c r="D41" s="72" t="n"/>
      <c r="E41" s="72" t="n"/>
      <c r="F41" s="72" t="n"/>
      <c r="G41" s="105" t="n"/>
      <c r="H41" s="105" t="n"/>
      <c r="I41" s="105" t="n"/>
      <c r="J41" s="108" t="n"/>
      <c r="K41" s="108" t="n"/>
      <c r="L41" s="76" t="n"/>
      <c r="M41" s="72" t="inlineStr">
        <is>
          <t>N/A: O-360-A1AD is naturally aspirated, no turbocharger.</t>
        </is>
      </c>
    </row>
    <row r="42" ht="15.75" customHeight="1" s="48">
      <c r="A42" s="72" t="inlineStr">
        <is>
          <t>FAA 2012-03-07</t>
        </is>
      </c>
      <c r="B42" s="72" t="inlineStr">
        <is>
          <t>FAA</t>
        </is>
      </c>
      <c r="C42" s="72" t="inlineStr">
        <is>
          <t>HA-6 carburetor inspection/replacement</t>
        </is>
      </c>
      <c r="D42" s="72" t="n"/>
      <c r="E42" s="72" t="n"/>
      <c r="F42" s="72" t="n"/>
      <c r="G42" s="105" t="n"/>
      <c r="H42" s="105" t="n"/>
      <c r="I42" s="105" t="n"/>
      <c r="J42" s="108" t="n"/>
      <c r="K42" s="108" t="n"/>
      <c r="L42" s="76" t="n"/>
      <c r="M42" s="72" t="inlineStr">
        <is>
          <t>Uncertain/N/A likely: TB10 identified carburetor is Marvel MA-4-5; verify installed carburetor.</t>
        </is>
      </c>
    </row>
    <row r="43" ht="15.75" customHeight="1" s="48">
      <c r="A43" s="72" t="inlineStr">
        <is>
          <t>FAA 2012-19-01</t>
        </is>
      </c>
      <c r="B43" s="72" t="inlineStr">
        <is>
          <t>FAA</t>
        </is>
      </c>
      <c r="C43" s="72" t="inlineStr">
        <is>
          <t>Crankshaft replacement</t>
        </is>
      </c>
      <c r="D43" s="72" t="n"/>
      <c r="E43" s="72" t="n"/>
      <c r="F43" s="72" t="n"/>
      <c r="G43" s="105" t="n"/>
      <c r="H43" s="105" t="n"/>
      <c r="I43" s="105" t="n"/>
      <c r="J43" s="108" t="n"/>
      <c r="K43" s="108" t="n"/>
      <c r="L43" s="76" t="n"/>
      <c r="M43" s="72" t="inlineStr">
        <is>
          <t>Uncertain: depends on engine and crankshaft serial numbers listed in MSB.</t>
        </is>
      </c>
    </row>
    <row r="44" ht="15.75" customHeight="1" s="48">
      <c r="A44" s="72" t="inlineStr">
        <is>
          <t>FAA 2015-02-07</t>
        </is>
      </c>
      <c r="B44" s="72" t="inlineStr">
        <is>
          <t>FAA</t>
        </is>
      </c>
      <c r="C44" s="72" t="inlineStr">
        <is>
          <t>Propeller governor shaft set screws</t>
        </is>
      </c>
      <c r="D44" s="72" t="n"/>
      <c r="E44" s="72" t="n"/>
      <c r="F44" s="72" t="n"/>
      <c r="G44" s="105" t="n"/>
      <c r="H44" s="105" t="n"/>
      <c r="I44" s="105" t="n"/>
      <c r="J44" s="108" t="n"/>
      <c r="K44" s="108" t="n"/>
      <c r="L44" s="76" t="n"/>
      <c r="M44" s="72" t="inlineStr">
        <is>
          <t>N/A: affects aerobatic wide deck engines; O-360-A1AD is not aerobatic.</t>
        </is>
      </c>
    </row>
    <row r="45" ht="15.75" customHeight="1" s="48">
      <c r="A45" s="72" t="inlineStr">
        <is>
          <t>FAA 2017-16-11</t>
        </is>
      </c>
      <c r="B45" s="72" t="inlineStr">
        <is>
          <t>FAA</t>
        </is>
      </c>
      <c r="C45" s="72" t="inlineStr">
        <is>
          <t>Connecting rod bushings</t>
        </is>
      </c>
      <c r="D45" s="72" t="n"/>
      <c r="E45" s="72" t="n"/>
      <c r="F45" s="72" t="n"/>
      <c r="G45" s="105" t="n"/>
      <c r="H45" s="105" t="n"/>
      <c r="I45" s="105" t="n"/>
      <c r="J45" s="108" t="n"/>
      <c r="K45" s="108" t="n"/>
      <c r="L45" s="76" t="n"/>
      <c r="M45" s="72" t="inlineStr">
        <is>
          <t>Uncertain: depends on engine/parts listed in MSB.</t>
        </is>
      </c>
    </row>
    <row r="46" ht="15.75" customHeight="1" s="48">
      <c r="A46" s="72" t="inlineStr">
        <is>
          <t>FAA 2024-21-02</t>
        </is>
      </c>
      <c r="B46" s="72" t="inlineStr">
        <is>
          <t>FAA</t>
        </is>
      </c>
      <c r="C46" s="72" t="inlineStr">
        <is>
          <t>Connecting rod bushings</t>
        </is>
      </c>
      <c r="D46" s="72" t="n"/>
      <c r="E46" s="72" t="n"/>
      <c r="F46" s="72" t="n"/>
      <c r="G46" s="105" t="n"/>
      <c r="H46" s="105" t="n"/>
      <c r="I46" s="105" t="n"/>
      <c r="J46" s="108" t="n"/>
      <c r="K46" s="108" t="n"/>
      <c r="L46" s="76" t="n"/>
      <c r="M46" s="72" t="inlineStr">
        <is>
          <t>N/A/superseded: control through FAA 2026-04-11.</t>
        </is>
      </c>
    </row>
    <row r="47" ht="15.75" customHeight="1" s="48">
      <c r="A47" s="72" t="inlineStr">
        <is>
          <t>FAA 2026-04-11</t>
        </is>
      </c>
      <c r="B47" s="72" t="inlineStr">
        <is>
          <t>FAA</t>
        </is>
      </c>
      <c r="C47" s="72" t="inlineStr">
        <is>
          <t>Connecting rod bushings</t>
        </is>
      </c>
      <c r="D47" s="72" t="n"/>
      <c r="E47" s="72" t="n"/>
      <c r="F47" s="72" t="n"/>
      <c r="G47" s="105" t="n">
        <v>2100</v>
      </c>
      <c r="H47" s="105">
        <f>IF(AND(D47&lt;&gt;"",G47&lt;&gt;""),G47+D47,IF(AND(E47&lt;&gt;"",G47&lt;&gt;""),G47+E47,""))</f>
        <v/>
      </c>
      <c r="I47" s="105">
        <f>IF(H47="","",H47-IF(D47&lt;&gt;"",$J$3,$L$3))</f>
        <v/>
      </c>
      <c r="J47" s="108" t="n"/>
      <c r="K47" s="108">
        <f>IF(AND(F47&lt;&gt;"",J47&lt;&gt;""),J47+F47,"")</f>
        <v/>
      </c>
      <c r="L47" s="76">
        <f>IF(K47="","",K47-$I$3)</f>
        <v/>
      </c>
      <c r="M47" s="72" t="inlineStr">
        <is>
          <t>Uncertain: if affected bushings installed, inspect at every oil change until terminating replacement.</t>
        </is>
      </c>
    </row>
    <row r="48" ht="15.75" customHeight="1" s="48">
      <c r="A48" s="72" t="inlineStr">
        <is>
          <t>FAA 92-12-05</t>
        </is>
      </c>
      <c r="B48" s="72" t="inlineStr">
        <is>
          <t>FAA</t>
        </is>
      </c>
      <c r="C48" s="72" t="inlineStr">
        <is>
          <t>Piston pin replacement</t>
        </is>
      </c>
      <c r="D48" s="72" t="n"/>
      <c r="E48" s="72" t="n"/>
      <c r="F48" s="72" t="n"/>
      <c r="G48" s="105" t="n"/>
      <c r="H48" s="105" t="n"/>
      <c r="I48" s="105" t="n"/>
      <c r="J48" s="108" t="n"/>
      <c r="K48" s="108" t="n"/>
      <c r="L48" s="76" t="n"/>
      <c r="M48" s="72" t="inlineStr">
        <is>
          <t>Uncertain: depends on engine S/N or affected piston pin purchase/installation.</t>
        </is>
      </c>
    </row>
    <row r="49" ht="15.75" customHeight="1" s="48">
      <c r="A49" s="72" t="inlineStr">
        <is>
          <t>FAA 96-09-10</t>
        </is>
      </c>
      <c r="B49" s="72" t="inlineStr">
        <is>
          <t>FAA</t>
        </is>
      </c>
      <c r="C49" s="72" t="inlineStr">
        <is>
          <t>Oil pump impeller replacement</t>
        </is>
      </c>
      <c r="D49" s="72" t="n"/>
      <c r="E49" s="72" t="n"/>
      <c r="F49" s="72" t="n"/>
      <c r="G49" s="105" t="n"/>
      <c r="H49" s="105" t="n"/>
      <c r="I49" s="105" t="n"/>
      <c r="J49" s="108" t="n"/>
      <c r="K49" s="108" t="n"/>
      <c r="L49" s="76" t="n"/>
      <c r="M49" s="72" t="inlineStr">
        <is>
          <t>Uncertain: depends on sintered iron/aluminium impeller installation.</t>
        </is>
      </c>
    </row>
    <row r="50" ht="15.75" customHeight="1" s="48">
      <c r="A50" s="72" t="inlineStr">
        <is>
          <t>FAA 97-15-11</t>
        </is>
      </c>
      <c r="B50" s="72" t="inlineStr">
        <is>
          <t>FAA</t>
        </is>
      </c>
      <c r="C50" s="72" t="inlineStr">
        <is>
          <t>Piston pin replacement</t>
        </is>
      </c>
      <c r="D50" s="72" t="n"/>
      <c r="E50" s="72" t="n"/>
      <c r="F50" s="72" t="n"/>
      <c r="G50" s="105" t="n"/>
      <c r="H50" s="105" t="n"/>
      <c r="I50" s="105" t="n"/>
      <c r="J50" s="108" t="n"/>
      <c r="K50" s="108" t="n"/>
      <c r="L50" s="76" t="n"/>
      <c r="M50" s="72" t="inlineStr">
        <is>
          <t>Uncertain: depends on engine S/N or cylinder kits installed.</t>
        </is>
      </c>
    </row>
    <row r="51" ht="15.75" customHeight="1" s="48">
      <c r="A51" s="72" t="inlineStr">
        <is>
          <t>FAA 98-02-08</t>
        </is>
      </c>
      <c r="B51" s="72" t="inlineStr">
        <is>
          <t>FAA</t>
        </is>
      </c>
      <c r="C51" s="72" t="inlineStr">
        <is>
          <t>Crankshaft inspection fixed-pitch propellers</t>
        </is>
      </c>
      <c r="D51" s="72" t="n"/>
      <c r="E51" s="72" t="n"/>
      <c r="F51" s="72" t="n"/>
      <c r="G51" s="105" t="n"/>
      <c r="H51" s="105" t="n"/>
      <c r="I51" s="105" t="n"/>
      <c r="J51" s="108" t="n"/>
      <c r="K51" s="108" t="n"/>
      <c r="L51" s="76" t="n"/>
      <c r="M51" s="72" t="inlineStr">
        <is>
          <t>N/A: TB10 configured with Hartzell constant-speed propeller, not fixed pitch.</t>
        </is>
      </c>
    </row>
    <row r="52" ht="15.75" customHeight="1" s="48">
      <c r="A52" s="86" t="n"/>
      <c r="B52" s="86" t="n"/>
      <c r="C52" s="86" t="n"/>
      <c r="D52" s="86" t="n"/>
      <c r="E52" s="86" t="n"/>
      <c r="F52" s="86" t="n"/>
      <c r="G52" s="106" t="n"/>
      <c r="H52" s="106" t="n"/>
      <c r="I52" s="106" t="n"/>
      <c r="J52" s="107" t="n"/>
      <c r="K52" s="107" t="n"/>
      <c r="L52" s="77" t="n"/>
      <c r="M52" s="86" t="n"/>
    </row>
    <row r="53" ht="15.75" customHeight="1" s="48">
      <c r="A53" s="86" t="n"/>
      <c r="B53" s="86" t="n"/>
      <c r="C53" s="86" t="n"/>
      <c r="D53" s="86" t="n"/>
      <c r="E53" s="86" t="n"/>
      <c r="F53" s="86" t="n"/>
      <c r="G53" s="106" t="n"/>
      <c r="H53" s="106" t="n"/>
      <c r="I53" s="106" t="n"/>
      <c r="J53" s="107" t="n"/>
      <c r="K53" s="107" t="n"/>
      <c r="L53" s="77" t="n"/>
      <c r="M53" s="86" t="n"/>
    </row>
    <row r="54" ht="15.75" customHeight="1" s="48">
      <c r="A54" s="86" t="n"/>
      <c r="B54" s="86" t="n"/>
      <c r="C54" s="86" t="n"/>
      <c r="D54" s="86" t="n"/>
      <c r="E54" s="86" t="n"/>
      <c r="F54" s="86" t="n"/>
      <c r="G54" s="106" t="n"/>
      <c r="H54" s="106" t="n"/>
      <c r="I54" s="106" t="n"/>
      <c r="J54" s="107" t="n"/>
      <c r="K54" s="107" t="n"/>
      <c r="L54" s="77" t="n"/>
      <c r="M54" s="86" t="n"/>
    </row>
    <row r="55" ht="15.75" customHeight="1" s="48">
      <c r="A55" s="86" t="n"/>
      <c r="B55" s="86" t="n"/>
      <c r="C55" s="86" t="n"/>
      <c r="D55" s="86" t="n"/>
      <c r="E55" s="86" t="n"/>
      <c r="F55" s="86" t="n"/>
      <c r="G55" s="106" t="n"/>
      <c r="H55" s="106" t="n"/>
      <c r="I55" s="106" t="n"/>
      <c r="J55" s="107" t="n"/>
      <c r="K55" s="107" t="n"/>
      <c r="L55" s="77" t="n"/>
      <c r="M55" s="86" t="n"/>
    </row>
    <row r="56" ht="15.75" customHeight="1" s="48">
      <c r="A56" s="86" t="n"/>
      <c r="B56" s="86" t="n"/>
      <c r="C56" s="86" t="n"/>
      <c r="D56" s="86" t="n"/>
      <c r="E56" s="86" t="n"/>
      <c r="F56" s="86" t="n"/>
      <c r="G56" s="106" t="n"/>
      <c r="H56" s="106" t="n"/>
      <c r="I56" s="106" t="n"/>
      <c r="J56" s="107" t="n"/>
      <c r="K56" s="107" t="n"/>
      <c r="L56" s="77" t="n"/>
      <c r="M56" s="86" t="n"/>
    </row>
    <row r="57" ht="15.75" customHeight="1" s="48">
      <c r="A57" s="86" t="n"/>
      <c r="B57" s="86" t="n"/>
      <c r="C57" s="86" t="n"/>
      <c r="D57" s="86" t="n"/>
      <c r="E57" s="86" t="n"/>
      <c r="F57" s="86" t="n"/>
      <c r="G57" s="106" t="n"/>
      <c r="H57" s="106" t="n"/>
      <c r="I57" s="106" t="n"/>
      <c r="J57" s="107" t="n"/>
      <c r="K57" s="107" t="n"/>
      <c r="L57" s="77" t="n"/>
      <c r="M57" s="86" t="n"/>
    </row>
    <row r="58" ht="15.75" customHeight="1" s="48">
      <c r="A58" s="86" t="n"/>
      <c r="B58" s="86" t="n"/>
      <c r="C58" s="86" t="n"/>
      <c r="D58" s="86" t="n"/>
      <c r="E58" s="86" t="n"/>
      <c r="F58" s="86" t="n"/>
      <c r="G58" s="106" t="n"/>
      <c r="H58" s="106" t="n"/>
      <c r="I58" s="106" t="n"/>
      <c r="J58" s="107" t="n"/>
      <c r="K58" s="107" t="n"/>
      <c r="L58" s="77" t="n"/>
      <c r="M58" s="86" t="n"/>
    </row>
    <row r="59" ht="15.75" customHeight="1" s="48">
      <c r="A59" s="86" t="n"/>
      <c r="B59" s="86" t="n"/>
      <c r="C59" s="86" t="n"/>
      <c r="D59" s="86" t="n"/>
      <c r="E59" s="86" t="n"/>
      <c r="F59" s="86" t="n"/>
      <c r="G59" s="106" t="n"/>
      <c r="H59" s="106" t="n"/>
      <c r="I59" s="106" t="n"/>
      <c r="J59" s="107" t="n"/>
      <c r="K59" s="107" t="n"/>
      <c r="L59" s="77" t="n"/>
      <c r="M59" s="86" t="n"/>
    </row>
    <row r="60" ht="15.75" customHeight="1" s="48">
      <c r="A60" s="86" t="n"/>
      <c r="B60" s="86" t="n"/>
      <c r="C60" s="86" t="n"/>
      <c r="D60" s="86" t="n"/>
      <c r="E60" s="86" t="n"/>
      <c r="F60" s="86" t="n"/>
      <c r="G60" s="106" t="n"/>
      <c r="H60" s="106" t="n"/>
      <c r="I60" s="106" t="n"/>
      <c r="J60" s="107" t="n"/>
      <c r="K60" s="107" t="n"/>
      <c r="L60" s="77" t="n"/>
      <c r="M60" s="86" t="n"/>
    </row>
    <row r="61" ht="15.75" customHeight="1" s="48">
      <c r="A61" s="86" t="n"/>
      <c r="B61" s="86" t="n"/>
      <c r="C61" s="86" t="n"/>
      <c r="D61" s="86" t="n"/>
      <c r="E61" s="86" t="n"/>
      <c r="F61" s="86" t="n"/>
      <c r="G61" s="106" t="n"/>
      <c r="H61" s="106" t="n"/>
      <c r="I61" s="106" t="n"/>
      <c r="J61" s="107" t="n"/>
      <c r="K61" s="107" t="n"/>
      <c r="L61" s="77" t="n"/>
      <c r="M61" s="86" t="n"/>
    </row>
    <row r="62" ht="15.75" customHeight="1" s="48">
      <c r="A62" s="86" t="n"/>
      <c r="B62" s="86" t="n"/>
      <c r="C62" s="86" t="n"/>
      <c r="D62" s="86" t="n"/>
      <c r="E62" s="86" t="n"/>
      <c r="F62" s="86" t="n"/>
      <c r="G62" s="106" t="n"/>
      <c r="H62" s="106" t="n"/>
      <c r="I62" s="106" t="n"/>
      <c r="J62" s="107" t="n"/>
      <c r="K62" s="107" t="n"/>
      <c r="L62" s="77" t="n"/>
      <c r="M62" s="86" t="n"/>
    </row>
    <row r="63" ht="15.75" customHeight="1" s="48"/>
    <row r="64" ht="15.75" customHeight="1" s="48"/>
    <row r="65" ht="15.75" customHeight="1" s="48"/>
    <row r="66" ht="15.75" customHeight="1" s="48"/>
    <row r="67" ht="15.75" customHeight="1" s="48"/>
    <row r="68" ht="15.75" customHeight="1" s="48"/>
    <row r="69" ht="15.75" customHeight="1" s="48"/>
    <row r="70" ht="15.75" customHeight="1" s="48"/>
    <row r="71" ht="15.75" customHeight="1" s="48"/>
    <row r="72" ht="15.75" customHeight="1" s="48"/>
    <row r="73" ht="15.75" customHeight="1" s="48"/>
    <row r="74" ht="15.75" customHeight="1" s="48"/>
    <row r="75" ht="15.75" customHeight="1" s="48"/>
    <row r="76" ht="15.75" customHeight="1" s="48"/>
    <row r="77" ht="15.75" customHeight="1" s="48"/>
    <row r="78" ht="15.75" customHeight="1" s="48"/>
    <row r="79" ht="15.75" customHeight="1" s="48"/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5">
    <mergeCell ref="J7:L7"/>
    <mergeCell ref="A5:M5"/>
    <mergeCell ref="A6:M6"/>
    <mergeCell ref="D7:F7"/>
    <mergeCell ref="G7:I7"/>
  </mergeCells>
  <conditionalFormatting sqref="I9:I24">
    <cfRule type="expression" priority="1" dxfId="0">
      <formula>AND(ISNUMBER(I9),I9&lt;=0)</formula>
    </cfRule>
    <cfRule type="expression" priority="2" dxfId="1">
      <formula>AND(ISNUMBER(I9),I9&gt;0,I9&lt;=30)</formula>
    </cfRule>
  </conditionalFormatting>
  <conditionalFormatting sqref="L9:L24">
    <cfRule type="expression" priority="3" dxfId="0">
      <formula>AND(ISNUMBER(L9),L9&lt;=0)</formula>
    </cfRule>
    <cfRule type="expression" priority="4" dxfId="1">
      <formula>AND(ISNUMBER(L9),L9&gt;0,L9&lt;=30)</formula>
    </cfRule>
  </conditionalFormatting>
  <conditionalFormatting sqref="I29:I51">
    <cfRule type="expression" priority="5" dxfId="0">
      <formula>AND(ISNUMBER(I29),I29&lt;=0)</formula>
    </cfRule>
    <cfRule type="expression" priority="6" dxfId="1">
      <formula>AND(ISNUMBER(I29),I29&gt;0,I29&lt;=30)</formula>
    </cfRule>
  </conditionalFormatting>
  <conditionalFormatting sqref="L29:L51">
    <cfRule type="expression" priority="7" dxfId="0">
      <formula>AND(ISNUMBER(L29),L29&lt;=0)</formula>
    </cfRule>
    <cfRule type="expression" priority="8" dxfId="1">
      <formula>AND(ISNUMBER(L29),L29&gt;0,L29&lt;=30)</formula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2026-05-10T11:18:23Z</dcterms:created>
  <dcterms:modified xmlns:dcterms="http://purl.org/dc/terms/" xmlns:xsi="http://www.w3.org/2001/XMLSchema-instance" xsi:type="dcterms:W3CDTF">2026-05-11T14:56:48Z</dcterms:modified>
</cp:coreProperties>
</file>